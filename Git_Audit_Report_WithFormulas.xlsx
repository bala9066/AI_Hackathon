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Team Summary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Product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293B"/>
      <sz val="9"/>
    </font>
    <font>
      <name val="Arial"/>
      <color rgb="00065F46"/>
      <sz val="9"/>
    </font>
    <font>
      <name val="Arial"/>
      <color rgb="00991B1B"/>
      <sz val="9"/>
    </font>
    <font>
      <name val="Arial"/>
      <b val="1"/>
      <color rgb="00FFFFFF"/>
      <sz val="14"/>
    </font>
    <font>
      <name val="Arial"/>
      <b val="1"/>
      <color rgb="001E293B"/>
      <sz val="10"/>
    </font>
    <font>
      <name val="Arial"/>
      <sz val="10"/>
    </font>
    <font>
      <name val="Arial"/>
      <b val="1"/>
      <color rgb="00FFFFFF"/>
      <sz val="18"/>
    </font>
    <font>
      <name val="Arial"/>
      <i val="1"/>
      <color rgb="0064748B"/>
      <sz val="11"/>
    </font>
    <font>
      <name val="Arial"/>
      <b val="1"/>
      <color rgb="00FFFFFF"/>
      <sz val="22"/>
    </font>
    <font>
      <name val="Arial"/>
      <b val="1"/>
      <color rgb="00FFFFFF"/>
      <sz val="12"/>
    </font>
    <font>
      <name val="Arial"/>
      <color rgb="001E293B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0D7C8F"/>
      </patternFill>
    </fill>
    <fill>
      <patternFill patternType="solid">
        <fgColor rgb="00B91C1C"/>
      </patternFill>
    </fill>
    <fill>
      <patternFill patternType="solid">
        <fgColor rgb="00065F46"/>
      </patternFill>
    </fill>
    <fill>
      <patternFill patternType="solid">
        <fgColor rgb="006D28D9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4" fontId="10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1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1" fillId="7" borderId="1" pivotButton="0" quotePrefix="0" xfId="0"/>
    <xf numFmtId="0" fontId="0" fillId="0" borderId="1" pivotButton="0" quotePrefix="0" xfId="0"/>
    <xf numFmtId="0" fontId="13" fillId="2" borderId="0" pivotButton="0" quotePrefix="0" xfId="0"/>
    <xf numFmtId="164" fontId="0" fillId="0" borderId="1" pivotButton="0" quotePrefix="0" xfId="0"/>
    <xf numFmtId="0" fontId="14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Git Availability by Team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'Charts'!B3</f>
            </strRef>
          </tx>
          <spPr>
            <a:solidFill xmlns:a="http://schemas.openxmlformats.org/drawingml/2006/main">
              <a:srgbClr val="0D7C8F"/>
            </a:solidFill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'Charts'!$B$4:$B$8</f>
            </numRef>
          </val>
        </ser>
        <ser>
          <idx val="1"/>
          <order val="1"/>
          <tx>
            <strRef>
              <f>'Charts'!C3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Git Adoption % by Team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'Charts'!B11</f>
            </strRef>
          </tx>
          <spPr>
            <a:solidFill xmlns:a="http://schemas.openxmlformats.org/drawingml/2006/main">
              <a:srgbClr val="065F46"/>
            </a:solidFill>
            <a:ln xmlns:a="http://schemas.openxmlformats.org/drawingml/2006/main">
              <a:prstDash val="solid"/>
            </a:ln>
          </spPr>
          <cat>
            <numRef>
              <f>'Charts'!$A$12:$A$16</f>
            </numRef>
          </cat>
          <val>
            <numRef>
              <f>'Charts'!$B$12:$B$16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Adoption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Git Availability</a:t>
            </a:r>
          </a:p>
        </rich>
      </tx>
    </title>
    <plotArea>
      <pieChart>
        <varyColors val="1"/>
        <ser>
          <idx val="0"/>
          <order val="0"/>
          <tx>
            <strRef>
              <f>'Charts'!B19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7C8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'Charts'!$A$20:$A$21</f>
            </numRef>
          </cat>
          <val>
            <numRef>
              <f>'Charts'!$B$20:$B$21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18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GIT AUDIT REPORT — SOFTWARE CI STATUS DASHBOARD</t>
        </is>
      </c>
    </row>
    <row r="2" ht="18" customHeight="1">
      <c r="A2" s="2" t="inlineStr">
        <is>
          <t>Generated: February 2026  |  All KPIs are formula-driven from Raw Data sheet</t>
        </is>
      </c>
    </row>
    <row r="3" ht="10" customHeight="1"/>
    <row r="4" ht="22" customHeight="1">
      <c r="A4" s="3" t="inlineStr">
        <is>
          <t>Total CIs Tracked</t>
        </is>
      </c>
      <c r="C4" s="4" t="inlineStr">
        <is>
          <t>Git Available</t>
        </is>
      </c>
      <c r="E4" s="5" t="inlineStr">
        <is>
          <t>Git Not Available</t>
        </is>
      </c>
      <c r="G4" s="6" t="inlineStr">
        <is>
          <t>Overall Adoption %</t>
        </is>
      </c>
      <c r="I4" s="7" t="inlineStr">
        <is>
          <t>Total Push Count</t>
        </is>
      </c>
      <c r="K4" s="8" t="inlineStr">
        <is>
          <t>Teams Tracked</t>
        </is>
      </c>
    </row>
    <row r="5" ht="36" customHeight="1">
      <c r="A5" s="9">
        <f>'Team Summary'!B8</f>
        <v/>
      </c>
      <c r="C5" s="10">
        <f>'Team Summary'!C8</f>
        <v/>
      </c>
      <c r="E5" s="11">
        <f>'Team Summary'!D8</f>
        <v/>
      </c>
      <c r="G5" s="12">
        <f>'Team Summary'!E8</f>
        <v/>
      </c>
      <c r="I5" s="13">
        <f>'Team Summary'!F8</f>
        <v/>
      </c>
      <c r="K5" s="14">
        <f>5</f>
        <v/>
      </c>
    </row>
    <row r="6" ht="18" customHeight="1">
      <c r="A6" s="15" t="n"/>
      <c r="C6" s="16" t="n"/>
      <c r="E6" s="17" t="n"/>
      <c r="G6" s="18" t="n"/>
      <c r="I6" s="19" t="n"/>
      <c r="K6" s="20" t="n"/>
    </row>
    <row r="7" ht="10" customHeight="1"/>
    <row r="8" ht="18" customHeight="1">
      <c r="A8" s="21" t="inlineStr">
        <is>
          <t>TEAM-WISE SUMMARY (click Team Summary tab for detail)</t>
        </is>
      </c>
    </row>
    <row r="9" ht="18" customHeight="1">
      <c r="A9" s="22" t="inlineStr">
        <is>
          <t>Team</t>
        </is>
      </c>
      <c r="B9" s="22" t="inlineStr">
        <is>
          <t>Total CIs</t>
        </is>
      </c>
      <c r="C9" s="22" t="inlineStr">
        <is>
          <t>Git Avail.</t>
        </is>
      </c>
      <c r="D9" s="22" t="inlineStr">
        <is>
          <t>Git N/A</t>
        </is>
      </c>
      <c r="E9" s="22" t="inlineStr">
        <is>
          <t>Adoption %</t>
        </is>
      </c>
      <c r="F9" s="22" t="inlineStr">
        <is>
          <t>Total Pushes</t>
        </is>
      </c>
      <c r="G9" s="22" t="inlineStr">
        <is>
          <t>Avg Pushes/CI</t>
        </is>
      </c>
    </row>
    <row r="10" ht="16" customHeight="1">
      <c r="A10" s="23">
        <f>'Team Summary'!A3</f>
        <v/>
      </c>
      <c r="B10" s="24">
        <f>'Team Summary'!B3</f>
        <v/>
      </c>
      <c r="C10" s="24">
        <f>'Team Summary'!C3</f>
        <v/>
      </c>
      <c r="D10" s="24">
        <f>'Team Summary'!D3</f>
        <v/>
      </c>
      <c r="E10" s="25">
        <f>'Team Summary'!E3</f>
        <v/>
      </c>
      <c r="F10" s="24">
        <f>'Team Summary'!F3</f>
        <v/>
      </c>
      <c r="G10" s="26">
        <f>'Team Summary'!G3</f>
        <v/>
      </c>
    </row>
    <row r="11" ht="16" customHeight="1">
      <c r="A11" s="27">
        <f>'Team Summary'!A4</f>
        <v/>
      </c>
      <c r="B11" s="28">
        <f>'Team Summary'!B4</f>
        <v/>
      </c>
      <c r="C11" s="28">
        <f>'Team Summary'!C4</f>
        <v/>
      </c>
      <c r="D11" s="28">
        <f>'Team Summary'!D4</f>
        <v/>
      </c>
      <c r="E11" s="29">
        <f>'Team Summary'!E4</f>
        <v/>
      </c>
      <c r="F11" s="28">
        <f>'Team Summary'!F4</f>
        <v/>
      </c>
      <c r="G11" s="30">
        <f>'Team Summary'!G4</f>
        <v/>
      </c>
    </row>
    <row r="12" ht="16" customHeight="1">
      <c r="A12" s="23">
        <f>'Team Summary'!A5</f>
        <v/>
      </c>
      <c r="B12" s="24">
        <f>'Team Summary'!B5</f>
        <v/>
      </c>
      <c r="C12" s="24">
        <f>'Team Summary'!C5</f>
        <v/>
      </c>
      <c r="D12" s="24">
        <f>'Team Summary'!D5</f>
        <v/>
      </c>
      <c r="E12" s="25">
        <f>'Team Summary'!E5</f>
        <v/>
      </c>
      <c r="F12" s="24">
        <f>'Team Summary'!F5</f>
        <v/>
      </c>
      <c r="G12" s="26">
        <f>'Team Summary'!G5</f>
        <v/>
      </c>
    </row>
    <row r="13" ht="16" customHeight="1">
      <c r="A13" s="27">
        <f>'Team Summary'!A6</f>
        <v/>
      </c>
      <c r="B13" s="28">
        <f>'Team Summary'!B6</f>
        <v/>
      </c>
      <c r="C13" s="28">
        <f>'Team Summary'!C6</f>
        <v/>
      </c>
      <c r="D13" s="28">
        <f>'Team Summary'!D6</f>
        <v/>
      </c>
      <c r="E13" s="29">
        <f>'Team Summary'!E6</f>
        <v/>
      </c>
      <c r="F13" s="28">
        <f>'Team Summary'!F6</f>
        <v/>
      </c>
      <c r="G13" s="30">
        <f>'Team Summary'!G6</f>
        <v/>
      </c>
    </row>
    <row r="14" ht="16" customHeight="1">
      <c r="A14" s="23">
        <f>'Team Summary'!A7</f>
        <v/>
      </c>
      <c r="B14" s="24">
        <f>'Team Summary'!B7</f>
        <v/>
      </c>
      <c r="C14" s="24">
        <f>'Team Summary'!C7</f>
        <v/>
      </c>
      <c r="D14" s="24">
        <f>'Team Summary'!D7</f>
        <v/>
      </c>
      <c r="E14" s="25">
        <f>'Team Summary'!E7</f>
        <v/>
      </c>
      <c r="F14" s="24">
        <f>'Team Summary'!F7</f>
        <v/>
      </c>
      <c r="G14" s="26">
        <f>'Team Summary'!G7</f>
        <v/>
      </c>
    </row>
    <row r="15" ht="18" customHeight="1">
      <c r="A15" s="31" t="inlineStr">
        <is>
          <t>GRAND TOTAL</t>
        </is>
      </c>
      <c r="B15" s="32">
        <f>'Team Summary'!B8</f>
        <v/>
      </c>
      <c r="C15" s="32">
        <f>'Team Summary'!C8</f>
        <v/>
      </c>
      <c r="D15" s="32">
        <f>'Team Summary'!D8</f>
        <v/>
      </c>
      <c r="E15" s="33">
        <f>'Team Summary'!E8</f>
        <v/>
      </c>
      <c r="F15" s="32">
        <f>'Team Summary'!F8</f>
        <v/>
      </c>
      <c r="G15" s="34">
        <f>'Team Summary'!G8</f>
        <v/>
      </c>
    </row>
  </sheetData>
  <mergeCells count="21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0" customWidth="1" min="4" max="4"/>
    <col width="20" customWidth="1" min="5" max="5"/>
    <col width="20" customWidth="1" min="6" max="6"/>
    <col width="22" customWidth="1" min="7" max="7"/>
    <col width="14" customWidth="1" min="8" max="8"/>
    <col width="14" customWidth="1" min="9" max="9"/>
    <col width="14" customWidth="1" min="10" max="10"/>
    <col width="13" customWidth="1" min="11" max="11"/>
    <col width="15" customWidth="1" min="12" max="12"/>
    <col width="30" customWidth="1" min="13" max="13"/>
    <col width="14" customWidth="1" min="14" max="14"/>
  </cols>
  <sheetData>
    <row r="1" ht="20" customHeight="1">
      <c r="A1" s="32" t="inlineStr">
        <is>
          <t>Sl.No</t>
        </is>
      </c>
      <c r="B1" s="32" t="inlineStr">
        <is>
          <t>Project ID</t>
        </is>
      </c>
      <c r="C1" s="32" t="inlineStr">
        <is>
          <t>Product ID</t>
        </is>
      </c>
      <c r="D1" s="32" t="inlineStr">
        <is>
          <t>Software Product (CI)</t>
        </is>
      </c>
      <c r="E1" s="32" t="inlineStr">
        <is>
          <t>In-Charge</t>
        </is>
      </c>
      <c r="F1" s="32" t="inlineStr">
        <is>
          <t>Product Status</t>
        </is>
      </c>
      <c r="G1" s="32" t="inlineStr">
        <is>
          <t>Status</t>
        </is>
      </c>
      <c r="H1" s="32" t="inlineStr">
        <is>
          <t>Total Push Count</t>
        </is>
      </c>
      <c r="I1" s="32" t="inlineStr">
        <is>
          <t>First Push Date</t>
        </is>
      </c>
      <c r="J1" s="32" t="inlineStr">
        <is>
          <t>Last Push Date</t>
        </is>
      </c>
      <c r="K1" s="32" t="inlineStr">
        <is>
          <t>Duration (days)</t>
        </is>
      </c>
      <c r="L1" s="32" t="inlineStr">
        <is>
          <t>Git Availability</t>
        </is>
      </c>
      <c r="M1" s="32" t="inlineStr">
        <is>
          <t>Observations</t>
        </is>
      </c>
      <c r="N1" s="32" t="inlineStr">
        <is>
          <t>Team</t>
        </is>
      </c>
    </row>
    <row r="2" ht="14" customHeight="1">
      <c r="A2" s="35" t="n">
        <v>1</v>
      </c>
      <c r="B2" s="36" t="inlineStr">
        <is>
          <t>YIA2822_FCR_MIG29-K1</t>
        </is>
      </c>
      <c r="C2" s="36" t="inlineStr">
        <is>
          <t>DP-VPX-0224</t>
        </is>
      </c>
      <c r="D2" s="37" t="inlineStr">
        <is>
          <t>DP-VPX-0224-V1-01-BRAM-LIBS-ARM-LIN5V10</t>
        </is>
      </c>
      <c r="E2" s="36" t="inlineStr">
        <is>
          <t>Vishnu</t>
        </is>
      </c>
      <c r="F2" s="36" t="inlineStr">
        <is>
          <t>Testing Stage</t>
        </is>
      </c>
      <c r="G2" s="36" t="inlineStr">
        <is>
          <t>SETUP UNAVAILABLE</t>
        </is>
      </c>
      <c r="H2" s="35" t="n">
        <v>2</v>
      </c>
      <c r="I2" s="36" t="inlineStr">
        <is>
          <t>2025-11-07</t>
        </is>
      </c>
      <c r="J2" s="36" t="inlineStr">
        <is>
          <t>2025-11-07</t>
        </is>
      </c>
      <c r="K2" s="35" t="n">
        <v>0</v>
      </c>
      <c r="L2" s="38" t="inlineStr">
        <is>
          <t>Available</t>
        </is>
      </c>
      <c r="M2" s="36" t="inlineStr"/>
      <c r="N2" s="36" t="inlineStr">
        <is>
          <t>Computing</t>
        </is>
      </c>
    </row>
    <row r="3" ht="14" customHeight="1">
      <c r="A3" s="39" t="n">
        <v>2</v>
      </c>
      <c r="B3" s="40" t="inlineStr"/>
      <c r="C3" s="40" t="inlineStr"/>
      <c r="D3" s="41" t="inlineStr">
        <is>
          <t>DP-VPX-0224-V1-01-PL-LIBS-ARM-LIN5V10</t>
        </is>
      </c>
      <c r="E3" s="40" t="inlineStr"/>
      <c r="F3" s="40" t="inlineStr"/>
      <c r="G3" s="40" t="inlineStr"/>
      <c r="H3" s="39" t="n">
        <v>2</v>
      </c>
      <c r="I3" s="40" t="inlineStr">
        <is>
          <t>2025-11-07</t>
        </is>
      </c>
      <c r="J3" s="40" t="inlineStr">
        <is>
          <t>2025-11-07</t>
        </is>
      </c>
      <c r="K3" s="39" t="n">
        <v>0</v>
      </c>
      <c r="L3" s="38" t="inlineStr">
        <is>
          <t>Available</t>
        </is>
      </c>
      <c r="M3" s="40" t="inlineStr"/>
      <c r="N3" s="40" t="inlineStr">
        <is>
          <t>Computing</t>
        </is>
      </c>
    </row>
    <row r="4" ht="14" customHeight="1">
      <c r="A4" s="35" t="n">
        <v>3</v>
      </c>
      <c r="B4" s="36" t="inlineStr"/>
      <c r="C4" s="36" t="inlineStr"/>
      <c r="D4" s="37" t="inlineStr">
        <is>
          <t>DP-VPX-0224-V1-01-PLL-LIBS-ARM-LIN5V10</t>
        </is>
      </c>
      <c r="E4" s="36" t="inlineStr"/>
      <c r="F4" s="36" t="inlineStr"/>
      <c r="G4" s="36" t="inlineStr"/>
      <c r="H4" s="35" t="n">
        <v>2</v>
      </c>
      <c r="I4" s="36" t="inlineStr">
        <is>
          <t>2025-11-07</t>
        </is>
      </c>
      <c r="J4" s="36" t="inlineStr">
        <is>
          <t>2025-11-07</t>
        </is>
      </c>
      <c r="K4" s="35" t="n">
        <v>0</v>
      </c>
      <c r="L4" s="38" t="inlineStr">
        <is>
          <t>Available</t>
        </is>
      </c>
      <c r="M4" s="36" t="inlineStr"/>
      <c r="N4" s="36" t="inlineStr">
        <is>
          <t>Computing</t>
        </is>
      </c>
    </row>
    <row r="5" ht="14" customHeight="1">
      <c r="A5" s="39" t="n">
        <v>4</v>
      </c>
      <c r="B5" s="40" t="inlineStr"/>
      <c r="C5" s="40" t="inlineStr"/>
      <c r="D5" s="41" t="inlineStr">
        <is>
          <t>DP-VPX-0224-V1-01-PS-LIBS-ARM-LIN5V10</t>
        </is>
      </c>
      <c r="E5" s="40" t="inlineStr"/>
      <c r="F5" s="40" t="inlineStr"/>
      <c r="G5" s="40" t="inlineStr"/>
      <c r="H5" s="39" t="n">
        <v>2</v>
      </c>
      <c r="I5" s="40" t="inlineStr">
        <is>
          <t>2025-11-07</t>
        </is>
      </c>
      <c r="J5" s="40" t="inlineStr">
        <is>
          <t>2025-11-07</t>
        </is>
      </c>
      <c r="K5" s="39" t="n">
        <v>0</v>
      </c>
      <c r="L5" s="38" t="inlineStr">
        <is>
          <t>Available</t>
        </is>
      </c>
      <c r="M5" s="40" t="inlineStr"/>
      <c r="N5" s="40" t="inlineStr">
        <is>
          <t>Computing</t>
        </is>
      </c>
    </row>
    <row r="6" ht="14" customHeight="1">
      <c r="A6" s="35" t="n">
        <v>5</v>
      </c>
      <c r="B6" s="36" t="inlineStr"/>
      <c r="C6" s="36" t="inlineStr"/>
      <c r="D6" s="37" t="inlineStr">
        <is>
          <t>DP-VPX-0224-V1-01-RF-LIBS-ARM-LIN5V10</t>
        </is>
      </c>
      <c r="E6" s="36" t="inlineStr"/>
      <c r="F6" s="36" t="inlineStr"/>
      <c r="G6" s="36" t="inlineStr"/>
      <c r="H6" s="35" t="n">
        <v>2</v>
      </c>
      <c r="I6" s="36" t="inlineStr">
        <is>
          <t>2025-11-07</t>
        </is>
      </c>
      <c r="J6" s="36" t="inlineStr">
        <is>
          <t>2025-11-07</t>
        </is>
      </c>
      <c r="K6" s="35" t="n">
        <v>0</v>
      </c>
      <c r="L6" s="38" t="inlineStr">
        <is>
          <t>Available</t>
        </is>
      </c>
      <c r="M6" s="36" t="inlineStr"/>
      <c r="N6" s="36" t="inlineStr">
        <is>
          <t>Computing</t>
        </is>
      </c>
    </row>
    <row r="7" ht="14" customHeight="1">
      <c r="A7" s="39" t="n">
        <v>6</v>
      </c>
      <c r="B7" s="40" t="inlineStr"/>
      <c r="C7" s="40" t="inlineStr"/>
      <c r="D7" s="41" t="inlineStr">
        <is>
          <t>DP-VPX-0224-V1-01-RFDC-LIBS-ARM-LIN5V10</t>
        </is>
      </c>
      <c r="E7" s="40" t="inlineStr"/>
      <c r="F7" s="40" t="inlineStr"/>
      <c r="G7" s="40" t="inlineStr"/>
      <c r="H7" s="39" t="n">
        <v>2</v>
      </c>
      <c r="I7" s="40" t="inlineStr">
        <is>
          <t>2025-11-07</t>
        </is>
      </c>
      <c r="J7" s="40" t="inlineStr">
        <is>
          <t>2025-11-07</t>
        </is>
      </c>
      <c r="K7" s="39" t="n">
        <v>0</v>
      </c>
      <c r="L7" s="38" t="inlineStr">
        <is>
          <t>Available</t>
        </is>
      </c>
      <c r="M7" s="40" t="inlineStr"/>
      <c r="N7" s="40" t="inlineStr">
        <is>
          <t>Computing</t>
        </is>
      </c>
    </row>
    <row r="8" ht="14" customHeight="1">
      <c r="A8" s="35" t="n">
        <v>7</v>
      </c>
      <c r="B8" s="36" t="inlineStr"/>
      <c r="C8" s="36" t="inlineStr"/>
      <c r="D8" s="37" t="inlineStr">
        <is>
          <t>DP-VPX-0224-V1-01-AS-ARM-LIN5V10</t>
        </is>
      </c>
      <c r="E8" s="36" t="inlineStr"/>
      <c r="F8" s="36" t="inlineStr"/>
      <c r="G8" s="36" t="inlineStr"/>
      <c r="H8" s="35" t="n">
        <v>7</v>
      </c>
      <c r="I8" s="36" t="inlineStr">
        <is>
          <t>2025-07-25</t>
        </is>
      </c>
      <c r="J8" s="36" t="inlineStr">
        <is>
          <t>2025-11-07</t>
        </is>
      </c>
      <c r="K8" s="35" t="n">
        <v>105</v>
      </c>
      <c r="L8" s="38" t="inlineStr">
        <is>
          <t>Available</t>
        </is>
      </c>
      <c r="M8" s="36" t="inlineStr"/>
      <c r="N8" s="36" t="inlineStr">
        <is>
          <t>Computing</t>
        </is>
      </c>
    </row>
    <row r="9" ht="14" customHeight="1">
      <c r="A9" s="39" t="n">
        <v>8</v>
      </c>
      <c r="B9" s="40" t="inlineStr"/>
      <c r="C9" s="40" t="inlineStr"/>
      <c r="D9" s="41" t="inlineStr">
        <is>
          <t>DP-VPX-0224-V1-01-AS-X86-W10</t>
        </is>
      </c>
      <c r="E9" s="40" t="inlineStr"/>
      <c r="F9" s="40" t="inlineStr"/>
      <c r="G9" s="40" t="inlineStr"/>
      <c r="H9" s="39" t="n">
        <v>4</v>
      </c>
      <c r="I9" s="40" t="inlineStr">
        <is>
          <t>2025-07-25</t>
        </is>
      </c>
      <c r="J9" s="40" t="inlineStr">
        <is>
          <t>2025-11-07</t>
        </is>
      </c>
      <c r="K9" s="39" t="n">
        <v>105</v>
      </c>
      <c r="L9" s="38" t="inlineStr">
        <is>
          <t>Available</t>
        </is>
      </c>
      <c r="M9" s="40" t="inlineStr"/>
      <c r="N9" s="40" t="inlineStr">
        <is>
          <t>Computing</t>
        </is>
      </c>
    </row>
    <row r="10" ht="14" customHeight="1">
      <c r="A10" s="35" t="n">
        <v>9</v>
      </c>
      <c r="B10" s="36" t="inlineStr"/>
      <c r="C10" s="36" t="inlineStr"/>
      <c r="D10" s="37" t="inlineStr">
        <is>
          <t>DP-VPX-0224-V1-01-DS-ARM-LIN5V10</t>
        </is>
      </c>
      <c r="E10" s="36" t="inlineStr"/>
      <c r="F10" s="36" t="inlineStr"/>
      <c r="G10" s="36" t="inlineStr"/>
      <c r="H10" s="35" t="n">
        <v>6</v>
      </c>
      <c r="I10" s="36" t="inlineStr">
        <is>
          <t>2025-07-25</t>
        </is>
      </c>
      <c r="J10" s="36" t="inlineStr">
        <is>
          <t>2025-11-07</t>
        </is>
      </c>
      <c r="K10" s="35" t="n">
        <v>105</v>
      </c>
      <c r="L10" s="38" t="inlineStr">
        <is>
          <t>Available</t>
        </is>
      </c>
      <c r="M10" s="36" t="inlineStr"/>
      <c r="N10" s="36" t="inlineStr">
        <is>
          <t>Computing</t>
        </is>
      </c>
    </row>
    <row r="11" ht="14" customHeight="1">
      <c r="A11" s="39" t="n">
        <v>10</v>
      </c>
      <c r="B11" s="40" t="inlineStr"/>
      <c r="C11" s="40" t="inlineStr">
        <is>
          <t>DP-VPX-0227</t>
        </is>
      </c>
      <c r="D11" s="41" t="inlineStr">
        <is>
          <t>DP-VPX-0227-V1-01-AS-ATP-ARM-LIN5V04</t>
        </is>
      </c>
      <c r="E11" s="40" t="inlineStr"/>
      <c r="F11" s="40" t="inlineStr">
        <is>
          <t>Testing Stage</t>
        </is>
      </c>
      <c r="G11" s="40" t="inlineStr">
        <is>
          <t>QAC</t>
        </is>
      </c>
      <c r="H11" s="39" t="n">
        <v>8</v>
      </c>
      <c r="I11" s="40" t="inlineStr">
        <is>
          <t>2025-07-25</t>
        </is>
      </c>
      <c r="J11" s="40" t="inlineStr">
        <is>
          <t>2025-11-13</t>
        </is>
      </c>
      <c r="K11" s="39" t="n">
        <v>111</v>
      </c>
      <c r="L11" s="38" t="inlineStr">
        <is>
          <t>Available</t>
        </is>
      </c>
      <c r="M11" s="40" t="inlineStr"/>
      <c r="N11" s="40" t="inlineStr">
        <is>
          <t>Computing</t>
        </is>
      </c>
    </row>
    <row r="12" ht="14" customHeight="1">
      <c r="A12" s="35" t="n">
        <v>11</v>
      </c>
      <c r="B12" s="36" t="inlineStr"/>
      <c r="C12" s="36" t="inlineStr"/>
      <c r="D12" s="37" t="inlineStr">
        <is>
          <t>DP-VPX-0227-V1-01-AS-AUTOMATION-ARM-LIN5V04</t>
        </is>
      </c>
      <c r="E12" s="36" t="inlineStr"/>
      <c r="F12" s="36" t="inlineStr"/>
      <c r="G12" s="36" t="inlineStr"/>
      <c r="H12" s="35" t="n">
        <v>2</v>
      </c>
      <c r="I12" s="36" t="inlineStr">
        <is>
          <t>2025-07-25</t>
        </is>
      </c>
      <c r="J12" s="36" t="inlineStr">
        <is>
          <t>2025-09-01</t>
        </is>
      </c>
      <c r="K12" s="35" t="n">
        <v>38</v>
      </c>
      <c r="L12" s="38" t="inlineStr">
        <is>
          <t>Available</t>
        </is>
      </c>
      <c r="M12" s="36" t="inlineStr"/>
      <c r="N12" s="36" t="inlineStr">
        <is>
          <t>Computing</t>
        </is>
      </c>
    </row>
    <row r="13" ht="14" customHeight="1">
      <c r="A13" s="39" t="n">
        <v>12</v>
      </c>
      <c r="B13" s="40" t="inlineStr"/>
      <c r="C13" s="40" t="inlineStr"/>
      <c r="D13" s="41" t="inlineStr">
        <is>
          <t>DP-VPX-0227-V1-01-AS-HSDC-AUTO-X86-W10-1V00</t>
        </is>
      </c>
      <c r="E13" s="40" t="inlineStr"/>
      <c r="F13" s="40" t="inlineStr"/>
      <c r="G13" s="40" t="inlineStr"/>
      <c r="H13" s="39" t="n">
        <v>2</v>
      </c>
      <c r="I13" s="40" t="inlineStr">
        <is>
          <t>2025-07-25</t>
        </is>
      </c>
      <c r="J13" s="40" t="inlineStr">
        <is>
          <t>2025-09-01</t>
        </is>
      </c>
      <c r="K13" s="39" t="n">
        <v>38</v>
      </c>
      <c r="L13" s="38" t="inlineStr">
        <is>
          <t>Available</t>
        </is>
      </c>
      <c r="M13" s="40" t="inlineStr"/>
      <c r="N13" s="40" t="inlineStr">
        <is>
          <t>Computing</t>
        </is>
      </c>
    </row>
    <row r="14" ht="14" customHeight="1">
      <c r="A14" s="35" t="n">
        <v>13</v>
      </c>
      <c r="B14" s="36" t="inlineStr"/>
      <c r="C14" s="36" t="inlineStr"/>
      <c r="D14" s="37" t="inlineStr">
        <is>
          <t>DP-VPX-0227-V1-01-DS-ARM-LIN5V04</t>
        </is>
      </c>
      <c r="E14" s="36" t="inlineStr"/>
      <c r="F14" s="36" t="inlineStr"/>
      <c r="G14" s="36" t="inlineStr"/>
      <c r="H14" s="35" t="n">
        <v>2</v>
      </c>
      <c r="I14" s="36" t="inlineStr">
        <is>
          <t>2025-07-25</t>
        </is>
      </c>
      <c r="J14" s="36" t="inlineStr">
        <is>
          <t>2025-09-01</t>
        </is>
      </c>
      <c r="K14" s="35" t="n">
        <v>38</v>
      </c>
      <c r="L14" s="38" t="inlineStr">
        <is>
          <t>Available</t>
        </is>
      </c>
      <c r="M14" s="36" t="inlineStr"/>
      <c r="N14" s="36" t="inlineStr">
        <is>
          <t>Computing</t>
        </is>
      </c>
    </row>
    <row r="15" ht="14" customHeight="1">
      <c r="A15" s="39" t="n">
        <v>14</v>
      </c>
      <c r="B15" s="40" t="inlineStr"/>
      <c r="C15" s="40" t="inlineStr"/>
      <c r="D15" s="41" t="inlineStr">
        <is>
          <t>DP-VPX-0227-V1-01-LIBS-ARM-LIN5V04</t>
        </is>
      </c>
      <c r="E15" s="40" t="inlineStr"/>
      <c r="F15" s="40" t="inlineStr"/>
      <c r="G15" s="40" t="inlineStr"/>
      <c r="H15" s="39" t="n">
        <v>7</v>
      </c>
      <c r="I15" s="40" t="inlineStr">
        <is>
          <t>2025-07-25</t>
        </is>
      </c>
      <c r="J15" s="40" t="inlineStr">
        <is>
          <t>2025-11-13</t>
        </is>
      </c>
      <c r="K15" s="39" t="n">
        <v>111</v>
      </c>
      <c r="L15" s="38" t="inlineStr">
        <is>
          <t>Available</t>
        </is>
      </c>
      <c r="M15" s="40" t="inlineStr"/>
      <c r="N15" s="40" t="inlineStr">
        <is>
          <t>Computing</t>
        </is>
      </c>
    </row>
    <row r="16" ht="14" customHeight="1">
      <c r="A16" s="35" t="n">
        <v>15</v>
      </c>
      <c r="B16" s="36" t="inlineStr"/>
      <c r="C16" s="36" t="inlineStr">
        <is>
          <t>DP-VPX-2003</t>
        </is>
      </c>
      <c r="D16" s="37" t="inlineStr">
        <is>
          <t>DP-VPX-2003-V1-01-AS-ARM-LIN5V10</t>
        </is>
      </c>
      <c r="E16" s="36" t="inlineStr"/>
      <c r="F16" s="36" t="inlineStr">
        <is>
          <t>Testing Stage</t>
        </is>
      </c>
      <c r="G16" s="36" t="inlineStr">
        <is>
          <t>ON HOLD</t>
        </is>
      </c>
      <c r="H16" s="35" t="n">
        <v>20</v>
      </c>
      <c r="I16" s="36" t="inlineStr">
        <is>
          <t>2025-07-25</t>
        </is>
      </c>
      <c r="J16" s="36" t="inlineStr">
        <is>
          <t>2026-02-02</t>
        </is>
      </c>
      <c r="K16" s="35" t="n">
        <v>192</v>
      </c>
      <c r="L16" s="38" t="inlineStr">
        <is>
          <t>Available</t>
        </is>
      </c>
      <c r="M16" s="36" t="inlineStr"/>
      <c r="N16" s="36" t="inlineStr">
        <is>
          <t>Computing</t>
        </is>
      </c>
    </row>
    <row r="17" ht="14" customHeight="1">
      <c r="A17" s="39" t="n">
        <v>16</v>
      </c>
      <c r="B17" s="40" t="inlineStr"/>
      <c r="C17" s="40" t="inlineStr"/>
      <c r="D17" s="41" t="inlineStr">
        <is>
          <t>DP-VPX-2003-V1-01-DS-ARM-LIN5V10</t>
        </is>
      </c>
      <c r="E17" s="40" t="inlineStr"/>
      <c r="F17" s="40" t="inlineStr"/>
      <c r="G17" s="40" t="inlineStr"/>
      <c r="H17" s="39" t="n">
        <v>9</v>
      </c>
      <c r="I17" s="40" t="inlineStr">
        <is>
          <t>2025-07-25</t>
        </is>
      </c>
      <c r="J17" s="40" t="inlineStr">
        <is>
          <t>2026-02-02</t>
        </is>
      </c>
      <c r="K17" s="39" t="n">
        <v>192</v>
      </c>
      <c r="L17" s="38" t="inlineStr">
        <is>
          <t>Available</t>
        </is>
      </c>
      <c r="M17" s="40" t="inlineStr"/>
      <c r="N17" s="40" t="inlineStr">
        <is>
          <t>Computing</t>
        </is>
      </c>
    </row>
    <row r="18" ht="14" customHeight="1">
      <c r="A18" s="35" t="n">
        <v>17</v>
      </c>
      <c r="B18" s="36" t="inlineStr"/>
      <c r="C18" s="36" t="inlineStr"/>
      <c r="D18" s="37" t="inlineStr">
        <is>
          <t>DP-VPX-2003-V1-01-LIBS-ARM-LIN5V10</t>
        </is>
      </c>
      <c r="E18" s="36" t="inlineStr"/>
      <c r="F18" s="36" t="inlineStr"/>
      <c r="G18" s="36" t="inlineStr"/>
      <c r="H18" s="35" t="n">
        <v>8</v>
      </c>
      <c r="I18" s="36" t="inlineStr">
        <is>
          <t>2025-07-25</t>
        </is>
      </c>
      <c r="J18" s="36" t="inlineStr">
        <is>
          <t>2026-02-02</t>
        </is>
      </c>
      <c r="K18" s="35" t="n">
        <v>192</v>
      </c>
      <c r="L18" s="38" t="inlineStr">
        <is>
          <t>Available</t>
        </is>
      </c>
      <c r="M18" s="36" t="inlineStr"/>
      <c r="N18" s="36" t="inlineStr">
        <is>
          <t>Computing</t>
        </is>
      </c>
    </row>
    <row r="19" ht="14" customHeight="1">
      <c r="A19" s="39" t="n">
        <v>18</v>
      </c>
      <c r="B19" s="40" t="inlineStr"/>
      <c r="C19" s="40" t="inlineStr">
        <is>
          <t>DP-VPX-5792</t>
        </is>
      </c>
      <c r="D19" s="41" t="inlineStr">
        <is>
          <t>DP-VPX-5792-V1-01-AS-PPC-LIN4V20</t>
        </is>
      </c>
      <c r="E19" s="40" t="inlineStr"/>
      <c r="F19" s="40" t="inlineStr">
        <is>
          <t>Testing Stage</t>
        </is>
      </c>
      <c r="G19" s="40" t="inlineStr">
        <is>
          <t>UNDER PROGRESS</t>
        </is>
      </c>
      <c r="H19" s="39" t="n">
        <v>6</v>
      </c>
      <c r="I19" s="40" t="inlineStr">
        <is>
          <t>2025-07-25</t>
        </is>
      </c>
      <c r="J19" s="40" t="inlineStr">
        <is>
          <t>2025-11-14</t>
        </is>
      </c>
      <c r="K19" s="39" t="n">
        <v>112</v>
      </c>
      <c r="L19" s="38" t="inlineStr">
        <is>
          <t>Available</t>
        </is>
      </c>
      <c r="M19" s="40" t="inlineStr"/>
      <c r="N19" s="40" t="inlineStr">
        <is>
          <t>Computing</t>
        </is>
      </c>
    </row>
    <row r="20" ht="14" customHeight="1">
      <c r="A20" s="35" t="n">
        <v>19</v>
      </c>
      <c r="B20" s="36" t="inlineStr"/>
      <c r="C20" s="36" t="inlineStr"/>
      <c r="D20" s="37" t="inlineStr">
        <is>
          <t>DP-VPX-5792-V1-01-DS-PPC-LIN4V20</t>
        </is>
      </c>
      <c r="E20" s="36" t="inlineStr"/>
      <c r="F20" s="36" t="inlineStr"/>
      <c r="G20" s="36" t="inlineStr"/>
      <c r="H20" s="35" t="n">
        <v>11</v>
      </c>
      <c r="I20" s="36" t="inlineStr">
        <is>
          <t>2025-07-25</t>
        </is>
      </c>
      <c r="J20" s="36" t="inlineStr">
        <is>
          <t>2025-12-17</t>
        </is>
      </c>
      <c r="K20" s="35" t="n">
        <v>145</v>
      </c>
      <c r="L20" s="38" t="inlineStr">
        <is>
          <t>Available</t>
        </is>
      </c>
      <c r="M20" s="36" t="inlineStr"/>
      <c r="N20" s="36" t="inlineStr">
        <is>
          <t>Computing</t>
        </is>
      </c>
    </row>
    <row r="21" ht="14" customHeight="1">
      <c r="A21" s="39" t="n">
        <v>20</v>
      </c>
      <c r="B21" s="40" t="inlineStr"/>
      <c r="C21" s="40" t="inlineStr"/>
      <c r="D21" s="41" t="inlineStr">
        <is>
          <t>DP-VPX-5792-V1-01-LIBS-PPC-LIN4V20</t>
        </is>
      </c>
      <c r="E21" s="40" t="inlineStr"/>
      <c r="F21" s="40" t="inlineStr"/>
      <c r="G21" s="40" t="inlineStr"/>
      <c r="H21" s="39" t="n">
        <v>11</v>
      </c>
      <c r="I21" s="40" t="inlineStr">
        <is>
          <t>2025-07-25</t>
        </is>
      </c>
      <c r="J21" s="40" t="inlineStr">
        <is>
          <t>2025-11-27</t>
        </is>
      </c>
      <c r="K21" s="39" t="n">
        <v>125</v>
      </c>
      <c r="L21" s="38" t="inlineStr">
        <is>
          <t>Available</t>
        </is>
      </c>
      <c r="M21" s="40" t="inlineStr"/>
      <c r="N21" s="40" t="inlineStr">
        <is>
          <t>Computing</t>
        </is>
      </c>
    </row>
    <row r="22" ht="14" customHeight="1">
      <c r="A22" s="35" t="n">
        <v>21</v>
      </c>
      <c r="B22" s="36" t="inlineStr"/>
      <c r="C22" s="36" t="inlineStr">
        <is>
          <t>DP-VPX-7154</t>
        </is>
      </c>
      <c r="D22" s="37" t="inlineStr">
        <is>
          <t>DP-VPX-7154-V1-01-AS-W10</t>
        </is>
      </c>
      <c r="E22" s="36" t="inlineStr">
        <is>
          <t>Shiva Parvathi</t>
        </is>
      </c>
      <c r="F22" s="36" t="inlineStr">
        <is>
          <t>Requirement Stage</t>
        </is>
      </c>
      <c r="G22" s="36" t="inlineStr">
        <is>
          <t>UNDER PROGRESS</t>
        </is>
      </c>
      <c r="H22" s="35" t="n">
        <v>2</v>
      </c>
      <c r="I22" s="36" t="inlineStr">
        <is>
          <t>2026-01-28</t>
        </is>
      </c>
      <c r="J22" s="36" t="inlineStr">
        <is>
          <t>2026-01-28</t>
        </is>
      </c>
      <c r="K22" s="35" t="n">
        <v>0</v>
      </c>
      <c r="L22" s="38" t="inlineStr">
        <is>
          <t>Available</t>
        </is>
      </c>
      <c r="M22" s="36" t="inlineStr"/>
      <c r="N22" s="36" t="inlineStr">
        <is>
          <t>Computing</t>
        </is>
      </c>
    </row>
    <row r="23" ht="14" customHeight="1">
      <c r="A23" s="39" t="n">
        <v>22</v>
      </c>
      <c r="B23" s="40" t="inlineStr">
        <is>
          <t>YEA2876</t>
        </is>
      </c>
      <c r="C23" s="40" t="inlineStr">
        <is>
          <t>DP-SPL-0244</t>
        </is>
      </c>
      <c r="D23" s="41" t="inlineStr">
        <is>
          <t>DP-SPL-0244-600-V1-01-AS-ARM-LIN6V12</t>
        </is>
      </c>
      <c r="E23" s="40" t="inlineStr">
        <is>
          <t>Narendra</t>
        </is>
      </c>
      <c r="F23" s="40" t="inlineStr">
        <is>
          <t>Testing Stage</t>
        </is>
      </c>
      <c r="G23" s="40" t="inlineStr">
        <is>
          <t>ON HOLD</t>
        </is>
      </c>
      <c r="H23" s="39" t="n">
        <v>3</v>
      </c>
      <c r="I23" s="40" t="inlineStr">
        <is>
          <t>2025-11-13</t>
        </is>
      </c>
      <c r="J23" s="40" t="inlineStr">
        <is>
          <t>2025-11-13</t>
        </is>
      </c>
      <c r="K23" s="39" t="n">
        <v>0</v>
      </c>
      <c r="L23" s="38" t="inlineStr">
        <is>
          <t>Available</t>
        </is>
      </c>
      <c r="M23" s="40" t="inlineStr"/>
      <c r="N23" s="40" t="inlineStr">
        <is>
          <t>Computing</t>
        </is>
      </c>
    </row>
    <row r="24" ht="14" customHeight="1">
      <c r="A24" s="35" t="n">
        <v>23</v>
      </c>
      <c r="B24" s="36" t="inlineStr"/>
      <c r="C24" s="36" t="inlineStr"/>
      <c r="D24" s="37" t="inlineStr">
        <is>
          <t>DP-SPL-0244-600-V1-01-AS-X86_64-W10</t>
        </is>
      </c>
      <c r="E24" s="36" t="inlineStr"/>
      <c r="F24" s="36" t="inlineStr"/>
      <c r="G24" s="36" t="inlineStr"/>
      <c r="H24" s="35" t="n">
        <v>1</v>
      </c>
      <c r="I24" s="36" t="inlineStr">
        <is>
          <t>2025-11-13</t>
        </is>
      </c>
      <c r="J24" s="36" t="inlineStr">
        <is>
          <t>2025-11-13</t>
        </is>
      </c>
      <c r="K24" s="35" t="n">
        <v>0</v>
      </c>
      <c r="L24" s="38" t="inlineStr">
        <is>
          <t>Available</t>
        </is>
      </c>
      <c r="M24" s="36" t="inlineStr"/>
      <c r="N24" s="36" t="inlineStr">
        <is>
          <t>Computing</t>
        </is>
      </c>
    </row>
    <row r="25" ht="14" customHeight="1">
      <c r="A25" s="39" t="n">
        <v>24</v>
      </c>
      <c r="B25" s="40" t="inlineStr"/>
      <c r="C25" s="40" t="inlineStr"/>
      <c r="D25" s="41" t="inlineStr">
        <is>
          <t>DP-SPL-0244-600-V1-01-LIBS-X86_64-W10</t>
        </is>
      </c>
      <c r="E25" s="40" t="inlineStr"/>
      <c r="F25" s="40" t="inlineStr"/>
      <c r="G25" s="40" t="inlineStr"/>
      <c r="H25" s="39" t="n">
        <v>1</v>
      </c>
      <c r="I25" s="40" t="inlineStr">
        <is>
          <t>2025-11-13</t>
        </is>
      </c>
      <c r="J25" s="40" t="inlineStr">
        <is>
          <t>2025-11-13</t>
        </is>
      </c>
      <c r="K25" s="39" t="n">
        <v>0</v>
      </c>
      <c r="L25" s="38" t="inlineStr">
        <is>
          <t>Available</t>
        </is>
      </c>
      <c r="M25" s="40" t="inlineStr"/>
      <c r="N25" s="40" t="inlineStr">
        <is>
          <t>Computing</t>
        </is>
      </c>
    </row>
    <row r="26" ht="14" customHeight="1">
      <c r="A26" s="35" t="n">
        <v>25</v>
      </c>
      <c r="B26" s="36" t="inlineStr"/>
      <c r="C26" s="36" t="inlineStr"/>
      <c r="D26" s="37" t="inlineStr">
        <is>
          <t>DP-SPL-0244-660-V1-01-LIBS-ARM-LIN6V12</t>
        </is>
      </c>
      <c r="E26" s="36" t="inlineStr"/>
      <c r="F26" s="36" t="inlineStr"/>
      <c r="G26" s="36" t="inlineStr"/>
      <c r="H26" s="35" t="n">
        <v>8</v>
      </c>
      <c r="I26" s="36" t="inlineStr">
        <is>
          <t>2025-11-13</t>
        </is>
      </c>
      <c r="J26" s="36" t="inlineStr">
        <is>
          <t>2025-11-18</t>
        </is>
      </c>
      <c r="K26" s="35" t="n">
        <v>5</v>
      </c>
      <c r="L26" s="38" t="inlineStr">
        <is>
          <t>Available</t>
        </is>
      </c>
      <c r="M26" s="36" t="inlineStr"/>
      <c r="N26" s="36" t="inlineStr">
        <is>
          <t>Computing</t>
        </is>
      </c>
    </row>
    <row r="27" ht="14" customHeight="1">
      <c r="A27" s="39" t="n">
        <v>26</v>
      </c>
      <c r="B27" s="40" t="inlineStr"/>
      <c r="C27" s="40" t="inlineStr">
        <is>
          <t>DP-DSP-8208</t>
        </is>
      </c>
      <c r="D27" s="41" t="inlineStr">
        <is>
          <t>DP-DSP-8208-660-V1-01-AS-ARM-LIN6V12</t>
        </is>
      </c>
      <c r="E27" s="40" t="inlineStr"/>
      <c r="F27" s="40" t="inlineStr">
        <is>
          <t>Testing Stage</t>
        </is>
      </c>
      <c r="G27" s="40" t="inlineStr">
        <is>
          <t>UNDER PROGRESS</t>
        </is>
      </c>
      <c r="H27" s="39" t="n">
        <v>9</v>
      </c>
      <c r="I27" s="40" t="inlineStr">
        <is>
          <t>2025-11-13</t>
        </is>
      </c>
      <c r="J27" s="40" t="inlineStr">
        <is>
          <t>2026-02-05</t>
        </is>
      </c>
      <c r="K27" s="39" t="n">
        <v>84</v>
      </c>
      <c r="L27" s="38" t="inlineStr">
        <is>
          <t>Available</t>
        </is>
      </c>
      <c r="M27" s="40" t="inlineStr"/>
      <c r="N27" s="40" t="inlineStr">
        <is>
          <t>Computing</t>
        </is>
      </c>
    </row>
    <row r="28" ht="14" customHeight="1">
      <c r="A28" s="35" t="n">
        <v>27</v>
      </c>
      <c r="B28" s="36" t="inlineStr"/>
      <c r="C28" s="36" t="inlineStr"/>
      <c r="D28" s="37" t="inlineStr">
        <is>
          <t>DP-DSP-8208-660-V1-01-AS-X86_64-W10</t>
        </is>
      </c>
      <c r="E28" s="36" t="inlineStr"/>
      <c r="F28" s="36" t="inlineStr"/>
      <c r="G28" s="36" t="inlineStr"/>
      <c r="H28" s="35" t="n">
        <v>8</v>
      </c>
      <c r="I28" s="36" t="inlineStr">
        <is>
          <t>2025-11-13</t>
        </is>
      </c>
      <c r="J28" s="36" t="inlineStr">
        <is>
          <t>2026-02-05</t>
        </is>
      </c>
      <c r="K28" s="35" t="n">
        <v>84</v>
      </c>
      <c r="L28" s="38" t="inlineStr">
        <is>
          <t>Available</t>
        </is>
      </c>
      <c r="M28" s="36" t="inlineStr"/>
      <c r="N28" s="36" t="inlineStr">
        <is>
          <t>Computing</t>
        </is>
      </c>
    </row>
    <row r="29" ht="14" customHeight="1">
      <c r="A29" s="39" t="n">
        <v>28</v>
      </c>
      <c r="B29" s="40" t="inlineStr"/>
      <c r="C29" s="40" t="inlineStr"/>
      <c r="D29" s="41" t="inlineStr">
        <is>
          <t>DP-DSP-8208-660-V1-01-LIBS-ARM-LIN6V12</t>
        </is>
      </c>
      <c r="E29" s="40" t="inlineStr"/>
      <c r="F29" s="40" t="inlineStr"/>
      <c r="G29" s="40" t="inlineStr"/>
      <c r="H29" s="39" t="n">
        <v>4</v>
      </c>
      <c r="I29" s="40" t="inlineStr">
        <is>
          <t>2025-11-13</t>
        </is>
      </c>
      <c r="J29" s="40" t="inlineStr">
        <is>
          <t>2025-12-04</t>
        </is>
      </c>
      <c r="K29" s="39" t="n">
        <v>21</v>
      </c>
      <c r="L29" s="38" t="inlineStr">
        <is>
          <t>Available</t>
        </is>
      </c>
      <c r="M29" s="40" t="inlineStr"/>
      <c r="N29" s="40" t="inlineStr">
        <is>
          <t>Computing</t>
        </is>
      </c>
    </row>
    <row r="30" ht="14" customHeight="1">
      <c r="A30" s="35" t="n">
        <v>29</v>
      </c>
      <c r="B30" s="36" t="inlineStr"/>
      <c r="C30" s="36" t="inlineStr"/>
      <c r="D30" s="37" t="inlineStr">
        <is>
          <t>DP-DSP-8208-660-V1-01-LIBS-X86_64-W10</t>
        </is>
      </c>
      <c r="E30" s="36" t="inlineStr"/>
      <c r="F30" s="36" t="inlineStr"/>
      <c r="G30" s="36" t="inlineStr"/>
      <c r="H30" s="35" t="n">
        <v>1</v>
      </c>
      <c r="I30" s="36" t="inlineStr">
        <is>
          <t>2025-11-13</t>
        </is>
      </c>
      <c r="J30" s="36" t="inlineStr">
        <is>
          <t>2025-11-13</t>
        </is>
      </c>
      <c r="K30" s="35" t="n">
        <v>0</v>
      </c>
      <c r="L30" s="38" t="inlineStr">
        <is>
          <t>Available</t>
        </is>
      </c>
      <c r="M30" s="36" t="inlineStr"/>
      <c r="N30" s="36" t="inlineStr">
        <is>
          <t>Computing</t>
        </is>
      </c>
    </row>
    <row r="31" ht="14" customHeight="1">
      <c r="A31" s="39" t="n">
        <v>30</v>
      </c>
      <c r="B31" s="40" t="inlineStr">
        <is>
          <t>YEB2935</t>
        </is>
      </c>
      <c r="C31" s="40" t="inlineStr">
        <is>
          <t>DP-VPX-0233</t>
        </is>
      </c>
      <c r="D31" s="41" t="inlineStr">
        <is>
          <t>DP-VPX-0233</t>
        </is>
      </c>
      <c r="E31" s="40" t="inlineStr">
        <is>
          <t>Gowthami</t>
        </is>
      </c>
      <c r="F31" s="40" t="inlineStr">
        <is>
          <t>Testing Stage</t>
        </is>
      </c>
      <c r="G31" s="40" t="inlineStr">
        <is>
          <t>QAC</t>
        </is>
      </c>
      <c r="H31" s="39" t="n">
        <v>4</v>
      </c>
      <c r="I31" s="40" t="inlineStr">
        <is>
          <t>2026-01-12</t>
        </is>
      </c>
      <c r="J31" s="40" t="inlineStr">
        <is>
          <t>2026-01-13</t>
        </is>
      </c>
      <c r="K31" s="39" t="n">
        <v>1</v>
      </c>
      <c r="L31" s="38" t="inlineStr">
        <is>
          <t>Available</t>
        </is>
      </c>
      <c r="M31" s="40" t="inlineStr"/>
      <c r="N31" s="40" t="inlineStr">
        <is>
          <t>Computing</t>
        </is>
      </c>
    </row>
    <row r="32" ht="14" customHeight="1">
      <c r="A32" s="35" t="n">
        <v>31</v>
      </c>
      <c r="B32" s="36" t="inlineStr"/>
      <c r="C32" s="36" t="inlineStr"/>
      <c r="D32" s="37" t="inlineStr">
        <is>
          <t>DP-VPX-0233-V1-01-AS-ATP-ARM-LIN5V04</t>
        </is>
      </c>
      <c r="E32" s="36" t="inlineStr"/>
      <c r="F32" s="36" t="inlineStr"/>
      <c r="G32" s="36" t="inlineStr"/>
      <c r="H32" s="35" t="n">
        <v>8</v>
      </c>
      <c r="I32" s="36" t="inlineStr">
        <is>
          <t>2025-07-25</t>
        </is>
      </c>
      <c r="J32" s="36" t="inlineStr">
        <is>
          <t>2025-11-18</t>
        </is>
      </c>
      <c r="K32" s="35" t="n">
        <v>116</v>
      </c>
      <c r="L32" s="38" t="inlineStr">
        <is>
          <t>Available</t>
        </is>
      </c>
      <c r="M32" s="36" t="inlineStr"/>
      <c r="N32" s="36" t="inlineStr">
        <is>
          <t>Computing</t>
        </is>
      </c>
    </row>
    <row r="33" ht="14" customHeight="1">
      <c r="A33" s="39" t="n">
        <v>32</v>
      </c>
      <c r="B33" s="40" t="inlineStr"/>
      <c r="C33" s="40" t="inlineStr"/>
      <c r="D33" s="41" t="inlineStr">
        <is>
          <t>DP-VPX-0233-V1-01-AS-AUTOMATION-ARM-LIN5V04</t>
        </is>
      </c>
      <c r="E33" s="40" t="inlineStr"/>
      <c r="F33" s="40" t="inlineStr"/>
      <c r="G33" s="40" t="inlineStr"/>
      <c r="H33" s="39" t="n">
        <v>6</v>
      </c>
      <c r="I33" s="40" t="inlineStr">
        <is>
          <t>2025-07-25</t>
        </is>
      </c>
      <c r="J33" s="40" t="inlineStr">
        <is>
          <t>2025-11-10</t>
        </is>
      </c>
      <c r="K33" s="39" t="n">
        <v>108</v>
      </c>
      <c r="L33" s="38" t="inlineStr">
        <is>
          <t>Available</t>
        </is>
      </c>
      <c r="M33" s="40" t="inlineStr"/>
      <c r="N33" s="40" t="inlineStr">
        <is>
          <t>Computing</t>
        </is>
      </c>
    </row>
    <row r="34" ht="14" customHeight="1">
      <c r="A34" s="35" t="n">
        <v>33</v>
      </c>
      <c r="B34" s="36" t="inlineStr"/>
      <c r="C34" s="36" t="inlineStr"/>
      <c r="D34" s="37" t="inlineStr">
        <is>
          <t>DP-VPX-0233-V1-01-AS-HSDC-AUTO-X86-W10</t>
        </is>
      </c>
      <c r="E34" s="36" t="inlineStr"/>
      <c r="F34" s="36" t="inlineStr"/>
      <c r="G34" s="36" t="inlineStr"/>
      <c r="H34" s="35" t="n">
        <v>8</v>
      </c>
      <c r="I34" s="36" t="inlineStr">
        <is>
          <t>2025-07-25</t>
        </is>
      </c>
      <c r="J34" s="36" t="inlineStr">
        <is>
          <t>2025-11-10</t>
        </is>
      </c>
      <c r="K34" s="35" t="n">
        <v>108</v>
      </c>
      <c r="L34" s="38" t="inlineStr">
        <is>
          <t>Available</t>
        </is>
      </c>
      <c r="M34" s="36" t="inlineStr"/>
      <c r="N34" s="36" t="inlineStr">
        <is>
          <t>Computing</t>
        </is>
      </c>
    </row>
    <row r="35" ht="14" customHeight="1">
      <c r="A35" s="39" t="n">
        <v>34</v>
      </c>
      <c r="B35" s="40" t="inlineStr"/>
      <c r="C35" s="40" t="inlineStr"/>
      <c r="D35" s="41" t="inlineStr">
        <is>
          <t>DP-VPX-0233-V1-01-DS-ARM-LIN5V04</t>
        </is>
      </c>
      <c r="E35" s="40" t="inlineStr"/>
      <c r="F35" s="40" t="inlineStr"/>
      <c r="G35" s="40" t="inlineStr"/>
      <c r="H35" s="39" t="n">
        <v>6</v>
      </c>
      <c r="I35" s="40" t="inlineStr">
        <is>
          <t>2025-07-25</t>
        </is>
      </c>
      <c r="J35" s="40" t="inlineStr">
        <is>
          <t>2025-11-10</t>
        </is>
      </c>
      <c r="K35" s="39" t="n">
        <v>108</v>
      </c>
      <c r="L35" s="38" t="inlineStr">
        <is>
          <t>Available</t>
        </is>
      </c>
      <c r="M35" s="40" t="inlineStr"/>
      <c r="N35" s="40" t="inlineStr">
        <is>
          <t>Computing</t>
        </is>
      </c>
    </row>
    <row r="36" ht="14" customHeight="1">
      <c r="A36" s="35" t="n">
        <v>35</v>
      </c>
      <c r="B36" s="36" t="inlineStr"/>
      <c r="C36" s="36" t="inlineStr"/>
      <c r="D36" s="37" t="inlineStr">
        <is>
          <t>DP-VPX-0233-V1-01-LIBS-ARM-LIN5V04</t>
        </is>
      </c>
      <c r="E36" s="36" t="inlineStr"/>
      <c r="F36" s="36" t="inlineStr"/>
      <c r="G36" s="36" t="inlineStr"/>
      <c r="H36" s="35" t="n">
        <v>8</v>
      </c>
      <c r="I36" s="36" t="inlineStr">
        <is>
          <t>2025-07-25</t>
        </is>
      </c>
      <c r="J36" s="36" t="inlineStr">
        <is>
          <t>2025-11-07</t>
        </is>
      </c>
      <c r="K36" s="35" t="n">
        <v>105</v>
      </c>
      <c r="L36" s="38" t="inlineStr">
        <is>
          <t>Available</t>
        </is>
      </c>
      <c r="M36" s="36" t="inlineStr"/>
      <c r="N36" s="36" t="inlineStr">
        <is>
          <t>Computing</t>
        </is>
      </c>
    </row>
    <row r="37" ht="14" customHeight="1">
      <c r="A37" s="39" t="n">
        <v>36</v>
      </c>
      <c r="B37" s="40" t="inlineStr">
        <is>
          <t>YEA2918</t>
        </is>
      </c>
      <c r="C37" s="40" t="inlineStr">
        <is>
          <t>DP-OBC-8178</t>
        </is>
      </c>
      <c r="D37" s="41" t="inlineStr">
        <is>
          <t>DP-OBC-8178-663-V1-01-AS-ARINC615A-DL-X86_64-LIN5V14</t>
        </is>
      </c>
      <c r="E37" s="40" t="inlineStr">
        <is>
          <t>Mohamed Ali</t>
        </is>
      </c>
      <c r="F37" s="40" t="inlineStr">
        <is>
          <t>Customer Test/Response</t>
        </is>
      </c>
      <c r="G37" s="40" t="inlineStr">
        <is>
          <t>COMPLETED</t>
        </is>
      </c>
      <c r="H37" s="39" t="n">
        <v>4</v>
      </c>
      <c r="I37" s="40" t="inlineStr">
        <is>
          <t>2025-08-11</t>
        </is>
      </c>
      <c r="J37" s="40" t="inlineStr">
        <is>
          <t>2025-08-13</t>
        </is>
      </c>
      <c r="K37" s="39" t="n">
        <v>2</v>
      </c>
      <c r="L37" s="38" t="inlineStr">
        <is>
          <t>Available</t>
        </is>
      </c>
      <c r="M37" s="40" t="inlineStr"/>
      <c r="N37" s="40" t="inlineStr">
        <is>
          <t>Computing</t>
        </is>
      </c>
    </row>
    <row r="38" ht="14" customHeight="1">
      <c r="A38" s="35" t="n">
        <v>37</v>
      </c>
      <c r="B38" s="36" t="inlineStr"/>
      <c r="C38" s="36" t="inlineStr"/>
      <c r="D38" s="37" t="inlineStr">
        <is>
          <t>DP-OBC-8178-663-V1-01-AS-ARINC615A-THW-X86_64-LIN5V14</t>
        </is>
      </c>
      <c r="E38" s="36" t="inlineStr"/>
      <c r="F38" s="36" t="inlineStr"/>
      <c r="G38" s="36" t="inlineStr"/>
      <c r="H38" s="35" t="n">
        <v>3</v>
      </c>
      <c r="I38" s="36" t="inlineStr">
        <is>
          <t>2025-08-11</t>
        </is>
      </c>
      <c r="J38" s="36" t="inlineStr">
        <is>
          <t>2025-08-13</t>
        </is>
      </c>
      <c r="K38" s="35" t="n">
        <v>2</v>
      </c>
      <c r="L38" s="38" t="inlineStr">
        <is>
          <t>Available</t>
        </is>
      </c>
      <c r="M38" s="36" t="inlineStr"/>
      <c r="N38" s="36" t="inlineStr">
        <is>
          <t>Computing</t>
        </is>
      </c>
    </row>
    <row r="39" ht="14" customHeight="1">
      <c r="A39" s="39" t="n">
        <v>38</v>
      </c>
      <c r="B39" s="40" t="inlineStr"/>
      <c r="C39" s="40" t="inlineStr"/>
      <c r="D39" s="41" t="inlineStr">
        <is>
          <t>DP-OBC-8178-663-V1-01-AS-SIM-SU-X86-W10</t>
        </is>
      </c>
      <c r="E39" s="40" t="inlineStr"/>
      <c r="F39" s="40" t="inlineStr"/>
      <c r="G39" s="40" t="inlineStr"/>
      <c r="H39" s="39" t="n">
        <v>3</v>
      </c>
      <c r="I39" s="40" t="inlineStr">
        <is>
          <t>2025-11-20</t>
        </is>
      </c>
      <c r="J39" s="40" t="inlineStr">
        <is>
          <t>2025-11-20</t>
        </is>
      </c>
      <c r="K39" s="39" t="n">
        <v>0</v>
      </c>
      <c r="L39" s="38" t="inlineStr">
        <is>
          <t>Available</t>
        </is>
      </c>
      <c r="M39" s="40" t="inlineStr"/>
      <c r="N39" s="40" t="inlineStr">
        <is>
          <t>Computing</t>
        </is>
      </c>
    </row>
    <row r="40" ht="14" customHeight="1">
      <c r="A40" s="35" t="n">
        <v>39</v>
      </c>
      <c r="B40" s="36" t="inlineStr"/>
      <c r="C40" s="36" t="inlineStr"/>
      <c r="D40" s="37" t="inlineStr">
        <is>
          <t>DP-OBC-8178-663-V1-01-AS-SIM-PU-X86-W10</t>
        </is>
      </c>
      <c r="E40" s="36" t="inlineStr"/>
      <c r="F40" s="36" t="inlineStr"/>
      <c r="G40" s="36" t="inlineStr"/>
      <c r="H40" s="35" t="n">
        <v>5</v>
      </c>
      <c r="I40" s="36" t="inlineStr">
        <is>
          <t>2025-08-11</t>
        </is>
      </c>
      <c r="J40" s="36" t="inlineStr">
        <is>
          <t>2026-01-07</t>
        </is>
      </c>
      <c r="K40" s="35" t="n">
        <v>149</v>
      </c>
      <c r="L40" s="38" t="inlineStr">
        <is>
          <t>Available</t>
        </is>
      </c>
      <c r="M40" s="36" t="inlineStr"/>
      <c r="N40" s="36" t="inlineStr">
        <is>
          <t>Computing</t>
        </is>
      </c>
    </row>
    <row r="41" ht="14" customHeight="1">
      <c r="A41" s="39" t="n">
        <v>40</v>
      </c>
      <c r="B41" s="40" t="inlineStr"/>
      <c r="C41" s="40" t="inlineStr"/>
      <c r="D41" s="41" t="inlineStr">
        <is>
          <t>DP-OBC-8178-663-V1-01-AS-TTMB1-X86_64-LIN5V14</t>
        </is>
      </c>
      <c r="E41" s="40" t="inlineStr"/>
      <c r="F41" s="40" t="inlineStr"/>
      <c r="G41" s="40" t="inlineStr"/>
      <c r="H41" s="39" t="n">
        <v>17</v>
      </c>
      <c r="I41" s="40" t="inlineStr">
        <is>
          <t>2025-08-11</t>
        </is>
      </c>
      <c r="J41" s="40" t="inlineStr">
        <is>
          <t>2025-12-24</t>
        </is>
      </c>
      <c r="K41" s="39" t="n">
        <v>135</v>
      </c>
      <c r="L41" s="38" t="inlineStr">
        <is>
          <t>Available</t>
        </is>
      </c>
      <c r="M41" s="40" t="inlineStr"/>
      <c r="N41" s="40" t="inlineStr">
        <is>
          <t>Computing</t>
        </is>
      </c>
    </row>
    <row r="42" ht="14" customHeight="1">
      <c r="A42" s="35" t="n">
        <v>41</v>
      </c>
      <c r="B42" s="36" t="inlineStr"/>
      <c r="C42" s="36" t="inlineStr"/>
      <c r="D42" s="37" t="inlineStr">
        <is>
          <t>DP-OBC-8178-663-V1-01-AS-TTMB2-X86_64-LIN5V14</t>
        </is>
      </c>
      <c r="E42" s="36" t="inlineStr"/>
      <c r="F42" s="36" t="inlineStr"/>
      <c r="G42" s="36" t="inlineStr"/>
      <c r="H42" s="35" t="n">
        <v>11</v>
      </c>
      <c r="I42" s="36" t="inlineStr">
        <is>
          <t>2025-08-11</t>
        </is>
      </c>
      <c r="J42" s="36" t="inlineStr">
        <is>
          <t>2025-12-24</t>
        </is>
      </c>
      <c r="K42" s="35" t="n">
        <v>135</v>
      </c>
      <c r="L42" s="38" t="inlineStr">
        <is>
          <t>Available</t>
        </is>
      </c>
      <c r="M42" s="36" t="inlineStr"/>
      <c r="N42" s="36" t="inlineStr">
        <is>
          <t>Computing</t>
        </is>
      </c>
    </row>
    <row r="43" ht="14" customHeight="1">
      <c r="A43" s="39" t="n">
        <v>42</v>
      </c>
      <c r="B43" s="40" t="inlineStr"/>
      <c r="C43" s="40" t="inlineStr"/>
      <c r="D43" s="41" t="inlineStr">
        <is>
          <t>DP-OBC-8178-663-V1-01-DS-X86_64-LIN5V14</t>
        </is>
      </c>
      <c r="E43" s="40" t="inlineStr"/>
      <c r="F43" s="40" t="inlineStr"/>
      <c r="G43" s="40" t="inlineStr"/>
      <c r="H43" s="39" t="n">
        <v>1</v>
      </c>
      <c r="I43" s="40" t="inlineStr">
        <is>
          <t>2025-08-11</t>
        </is>
      </c>
      <c r="J43" s="40" t="inlineStr">
        <is>
          <t>2025-08-11</t>
        </is>
      </c>
      <c r="K43" s="39" t="n">
        <v>0</v>
      </c>
      <c r="L43" s="38" t="inlineStr">
        <is>
          <t>Available</t>
        </is>
      </c>
      <c r="M43" s="40" t="inlineStr"/>
      <c r="N43" s="40" t="inlineStr">
        <is>
          <t>Computing</t>
        </is>
      </c>
    </row>
    <row r="44" ht="14" customHeight="1">
      <c r="A44" s="35" t="n">
        <v>43</v>
      </c>
      <c r="B44" s="36" t="inlineStr"/>
      <c r="C44" s="36" t="inlineStr"/>
      <c r="D44" s="37" t="inlineStr">
        <is>
          <t>DP-OBC-8178-663-V1-01-LIBS-ARINC615A-X86_64-LIN5V14</t>
        </is>
      </c>
      <c r="E44" s="36" t="inlineStr"/>
      <c r="F44" s="36" t="inlineStr"/>
      <c r="G44" s="36" t="inlineStr"/>
      <c r="H44" s="35" t="n">
        <v>2</v>
      </c>
      <c r="I44" s="36" t="inlineStr">
        <is>
          <t>2025-08-11</t>
        </is>
      </c>
      <c r="J44" s="36" t="inlineStr">
        <is>
          <t>2025-08-13</t>
        </is>
      </c>
      <c r="K44" s="35" t="n">
        <v>2</v>
      </c>
      <c r="L44" s="38" t="inlineStr">
        <is>
          <t>Available</t>
        </is>
      </c>
      <c r="M44" s="36" t="inlineStr"/>
      <c r="N44" s="36" t="inlineStr">
        <is>
          <t>Computing</t>
        </is>
      </c>
    </row>
    <row r="45" ht="14" customHeight="1">
      <c r="A45" s="39" t="n">
        <v>44</v>
      </c>
      <c r="B45" s="40" t="inlineStr"/>
      <c r="C45" s="40" t="inlineStr"/>
      <c r="D45" s="41" t="inlineStr">
        <is>
          <t>DP-OBC-8178-663-V1-01-LIBS-X86_64-LIN5V14</t>
        </is>
      </c>
      <c r="E45" s="40" t="inlineStr"/>
      <c r="F45" s="40" t="inlineStr"/>
      <c r="G45" s="40" t="inlineStr"/>
      <c r="H45" s="39" t="n">
        <v>1</v>
      </c>
      <c r="I45" s="40" t="inlineStr">
        <is>
          <t>2025-08-11</t>
        </is>
      </c>
      <c r="J45" s="40" t="inlineStr">
        <is>
          <t>2025-08-11</t>
        </is>
      </c>
      <c r="K45" s="39" t="n">
        <v>0</v>
      </c>
      <c r="L45" s="38" t="inlineStr">
        <is>
          <t>Available</t>
        </is>
      </c>
      <c r="M45" s="40" t="inlineStr"/>
      <c r="N45" s="40" t="inlineStr">
        <is>
          <t>Computing</t>
        </is>
      </c>
    </row>
    <row r="46" ht="14" customHeight="1">
      <c r="A46" s="35" t="n">
        <v>45</v>
      </c>
      <c r="B46" s="36" t="inlineStr"/>
      <c r="C46" s="36" t="inlineStr"/>
      <c r="D46" s="37" t="inlineStr">
        <is>
          <t>DP-OBC-8178-V1-02-LIB-LINUX-OS</t>
        </is>
      </c>
      <c r="E46" s="36" t="inlineStr"/>
      <c r="F46" s="36" t="inlineStr"/>
      <c r="G46" s="36" t="inlineStr"/>
      <c r="H46" s="35" t="n">
        <v>35</v>
      </c>
      <c r="I46" s="36" t="inlineStr">
        <is>
          <t>2025-06-04</t>
        </is>
      </c>
      <c r="J46" s="36" t="inlineStr">
        <is>
          <t>2026-01-09</t>
        </is>
      </c>
      <c r="K46" s="35" t="n">
        <v>219</v>
      </c>
      <c r="L46" s="38" t="inlineStr">
        <is>
          <t>Available</t>
        </is>
      </c>
      <c r="M46" s="36" t="inlineStr"/>
      <c r="N46" s="36" t="inlineStr">
        <is>
          <t>Computing</t>
        </is>
      </c>
    </row>
    <row r="47" ht="14" customHeight="1">
      <c r="A47" s="39" t="n">
        <v>46</v>
      </c>
      <c r="B47" s="40" t="inlineStr"/>
      <c r="C47" s="40" t="inlineStr"/>
      <c r="D47" s="41" t="inlineStr">
        <is>
          <t>DP-OBC-8178-V1-02-US-LINUX</t>
        </is>
      </c>
      <c r="E47" s="40" t="inlineStr"/>
      <c r="F47" s="40" t="inlineStr"/>
      <c r="G47" s="40" t="inlineStr"/>
      <c r="H47" s="39" t="n">
        <v>12</v>
      </c>
      <c r="I47" s="40" t="inlineStr">
        <is>
          <t>2025-06-12</t>
        </is>
      </c>
      <c r="J47" s="40" t="inlineStr">
        <is>
          <t>2025-10-29</t>
        </is>
      </c>
      <c r="K47" s="39" t="n">
        <v>139</v>
      </c>
      <c r="L47" s="38" t="inlineStr">
        <is>
          <t>Available</t>
        </is>
      </c>
      <c r="M47" s="40" t="inlineStr"/>
      <c r="N47" s="40" t="inlineStr">
        <is>
          <t>Computing</t>
        </is>
      </c>
    </row>
    <row r="48" ht="14" customHeight="1">
      <c r="A48" s="35" t="n">
        <v>47</v>
      </c>
      <c r="B48" s="36" t="inlineStr">
        <is>
          <t>YEC2874</t>
        </is>
      </c>
      <c r="C48" s="36" t="inlineStr">
        <is>
          <t>DP-SPL-0238</t>
        </is>
      </c>
      <c r="D48" s="37" t="inlineStr">
        <is>
          <t>DP-SPL-0238-V1-01-AS-X86-W10</t>
        </is>
      </c>
      <c r="E48" s="36" t="inlineStr">
        <is>
          <t>Hafeez</t>
        </is>
      </c>
      <c r="F48" s="36" t="inlineStr">
        <is>
          <t>Testing Stage</t>
        </is>
      </c>
      <c r="G48" s="36" t="inlineStr">
        <is>
          <t>SETUP UNAVAILABLE</t>
        </is>
      </c>
      <c r="H48" s="35" t="n">
        <v>17</v>
      </c>
      <c r="I48" s="36" t="inlineStr">
        <is>
          <t>2025-08-11</t>
        </is>
      </c>
      <c r="J48" s="36" t="inlineStr">
        <is>
          <t>2026-02-04</t>
        </is>
      </c>
      <c r="K48" s="35" t="n">
        <v>177</v>
      </c>
      <c r="L48" s="38" t="inlineStr">
        <is>
          <t>Available</t>
        </is>
      </c>
      <c r="M48" s="36" t="inlineStr"/>
      <c r="N48" s="36" t="inlineStr">
        <is>
          <t>Computing</t>
        </is>
      </c>
    </row>
    <row r="49" ht="14" customHeight="1">
      <c r="A49" s="39" t="n">
        <v>48</v>
      </c>
      <c r="B49" s="40" t="inlineStr"/>
      <c r="C49" s="40" t="inlineStr"/>
      <c r="D49" s="41" t="inlineStr">
        <is>
          <t>DP-SPL-0238-V1-01-FWS-ARM-NOS</t>
        </is>
      </c>
      <c r="E49" s="40" t="inlineStr"/>
      <c r="F49" s="40" t="inlineStr"/>
      <c r="G49" s="40" t="inlineStr"/>
      <c r="H49" s="39" t="n">
        <v>6</v>
      </c>
      <c r="I49" s="40" t="inlineStr">
        <is>
          <t>2025-08-11</t>
        </is>
      </c>
      <c r="J49" s="40" t="inlineStr">
        <is>
          <t>2025-11-10</t>
        </is>
      </c>
      <c r="K49" s="39" t="n">
        <v>91</v>
      </c>
      <c r="L49" s="38" t="inlineStr">
        <is>
          <t>Available</t>
        </is>
      </c>
      <c r="M49" s="40" t="inlineStr"/>
      <c r="N49" s="40" t="inlineStr">
        <is>
          <t>Computing</t>
        </is>
      </c>
    </row>
    <row r="50" ht="14" customHeight="1">
      <c r="A50" s="35" t="n">
        <v>49</v>
      </c>
      <c r="B50" s="36" t="inlineStr"/>
      <c r="C50" s="36" t="inlineStr"/>
      <c r="D50" s="37" t="inlineStr">
        <is>
          <t>DP-SPL-0238-V1-01-IS-X86-W10</t>
        </is>
      </c>
      <c r="E50" s="36" t="inlineStr"/>
      <c r="F50" s="36" t="inlineStr"/>
      <c r="G50" s="36" t="inlineStr"/>
      <c r="H50" s="35" t="n">
        <v>1</v>
      </c>
      <c r="I50" s="36" t="inlineStr">
        <is>
          <t>2025-11-06</t>
        </is>
      </c>
      <c r="J50" s="36" t="inlineStr">
        <is>
          <t>2025-11-06</t>
        </is>
      </c>
      <c r="K50" s="35" t="n">
        <v>0</v>
      </c>
      <c r="L50" s="38" t="inlineStr">
        <is>
          <t>Available</t>
        </is>
      </c>
      <c r="M50" s="36" t="inlineStr"/>
      <c r="N50" s="36" t="inlineStr">
        <is>
          <t>Computing</t>
        </is>
      </c>
    </row>
    <row r="51" ht="14" customHeight="1">
      <c r="A51" s="39" t="n">
        <v>50</v>
      </c>
      <c r="B51" s="40" t="inlineStr"/>
      <c r="C51" s="40" t="inlineStr"/>
      <c r="D51" s="41" t="inlineStr">
        <is>
          <t>DP-SPL-0238-V1-01-LIBS-ARM-NOS</t>
        </is>
      </c>
      <c r="E51" s="40" t="inlineStr"/>
      <c r="F51" s="40" t="inlineStr"/>
      <c r="G51" s="40" t="inlineStr"/>
      <c r="H51" s="39" t="n">
        <v>14</v>
      </c>
      <c r="I51" s="40" t="inlineStr">
        <is>
          <t>2025-08-11</t>
        </is>
      </c>
      <c r="J51" s="40" t="inlineStr">
        <is>
          <t>2025-11-10</t>
        </is>
      </c>
      <c r="K51" s="39" t="n">
        <v>91</v>
      </c>
      <c r="L51" s="38" t="inlineStr">
        <is>
          <t>Available</t>
        </is>
      </c>
      <c r="M51" s="40" t="inlineStr"/>
      <c r="N51" s="40" t="inlineStr">
        <is>
          <t>Computing</t>
        </is>
      </c>
    </row>
    <row r="52" ht="14" customHeight="1">
      <c r="A52" s="35" t="n">
        <v>51</v>
      </c>
      <c r="B52" s="36" t="inlineStr">
        <is>
          <t>YIA2927</t>
        </is>
      </c>
      <c r="C52" s="36" t="inlineStr">
        <is>
          <t>DP-VPX-0236</t>
        </is>
      </c>
      <c r="D52" s="37" t="inlineStr">
        <is>
          <t>DP-VPX-0236-V1-01-AS-ATP-ARM-LIN5V10</t>
        </is>
      </c>
      <c r="E52" s="36" t="inlineStr">
        <is>
          <t>Gowthami</t>
        </is>
      </c>
      <c r="F52" s="36" t="inlineStr">
        <is>
          <t>Testing Stage</t>
        </is>
      </c>
      <c r="G52" s="36" t="inlineStr">
        <is>
          <t>UNDER PROGRESS</t>
        </is>
      </c>
      <c r="H52" s="35" t="n">
        <v>7</v>
      </c>
      <c r="I52" s="36" t="inlineStr">
        <is>
          <t>2025-11-06</t>
        </is>
      </c>
      <c r="J52" s="36" t="inlineStr">
        <is>
          <t>2025-12-02</t>
        </is>
      </c>
      <c r="K52" s="35" t="n">
        <v>26</v>
      </c>
      <c r="L52" s="38" t="inlineStr">
        <is>
          <t>Available</t>
        </is>
      </c>
      <c r="M52" s="36" t="inlineStr"/>
      <c r="N52" s="36" t="inlineStr">
        <is>
          <t>Computing</t>
        </is>
      </c>
    </row>
    <row r="53" ht="14" customHeight="1">
      <c r="A53" s="39" t="n">
        <v>52</v>
      </c>
      <c r="B53" s="40" t="inlineStr"/>
      <c r="C53" s="40" t="inlineStr"/>
      <c r="D53" s="41" t="inlineStr">
        <is>
          <t>DP-VPX-0236-V1-01-AS-AUTOMATION-ARM-LIN5V10</t>
        </is>
      </c>
      <c r="E53" s="40" t="inlineStr"/>
      <c r="F53" s="40" t="inlineStr"/>
      <c r="G53" s="40" t="inlineStr"/>
      <c r="H53" s="39" t="n">
        <v>9</v>
      </c>
      <c r="I53" s="40" t="inlineStr">
        <is>
          <t>2025-11-06</t>
        </is>
      </c>
      <c r="J53" s="40" t="inlineStr">
        <is>
          <t>2025-12-02</t>
        </is>
      </c>
      <c r="K53" s="39" t="n">
        <v>26</v>
      </c>
      <c r="L53" s="38" t="inlineStr">
        <is>
          <t>Available</t>
        </is>
      </c>
      <c r="M53" s="40" t="inlineStr"/>
      <c r="N53" s="40" t="inlineStr">
        <is>
          <t>Computing</t>
        </is>
      </c>
    </row>
    <row r="54" ht="14" customHeight="1">
      <c r="A54" s="35" t="n">
        <v>53</v>
      </c>
      <c r="B54" s="36" t="inlineStr"/>
      <c r="C54" s="36" t="inlineStr"/>
      <c r="D54" s="37" t="inlineStr">
        <is>
          <t>DP-VPX-0236-V1-01-AS-HSDC-AUTO-X86-W10</t>
        </is>
      </c>
      <c r="E54" s="36" t="inlineStr"/>
      <c r="F54" s="36" t="inlineStr"/>
      <c r="G54" s="36" t="inlineStr"/>
      <c r="H54" s="35" t="n">
        <v>4</v>
      </c>
      <c r="I54" s="36" t="inlineStr">
        <is>
          <t>2025-07-25</t>
        </is>
      </c>
      <c r="J54" s="36" t="inlineStr">
        <is>
          <t>2025-11-10</t>
        </is>
      </c>
      <c r="K54" s="35" t="n">
        <v>108</v>
      </c>
      <c r="L54" s="38" t="inlineStr">
        <is>
          <t>Available</t>
        </is>
      </c>
      <c r="M54" s="36" t="inlineStr"/>
      <c r="N54" s="36" t="inlineStr">
        <is>
          <t>Computing</t>
        </is>
      </c>
    </row>
    <row r="55" ht="14" customHeight="1">
      <c r="A55" s="39" t="n">
        <v>54</v>
      </c>
      <c r="B55" s="40" t="inlineStr"/>
      <c r="C55" s="40" t="inlineStr"/>
      <c r="D55" s="41" t="inlineStr">
        <is>
          <t>DP-VPX-0236-V1-01-DS-ARM-LIN5V10</t>
        </is>
      </c>
      <c r="E55" s="40" t="inlineStr"/>
      <c r="F55" s="40" t="inlineStr"/>
      <c r="G55" s="40" t="inlineStr"/>
      <c r="H55" s="39" t="n">
        <v>6</v>
      </c>
      <c r="I55" s="40" t="inlineStr">
        <is>
          <t>2025-11-06</t>
        </is>
      </c>
      <c r="J55" s="40" t="inlineStr">
        <is>
          <t>2025-11-10</t>
        </is>
      </c>
      <c r="K55" s="39" t="n">
        <v>4</v>
      </c>
      <c r="L55" s="38" t="inlineStr">
        <is>
          <t>Available</t>
        </is>
      </c>
      <c r="M55" s="40" t="inlineStr"/>
      <c r="N55" s="40" t="inlineStr">
        <is>
          <t>Computing</t>
        </is>
      </c>
    </row>
    <row r="56" ht="14" customHeight="1">
      <c r="A56" s="35" t="n">
        <v>55</v>
      </c>
      <c r="B56" s="36" t="inlineStr"/>
      <c r="C56" s="36" t="inlineStr"/>
      <c r="D56" s="37" t="inlineStr">
        <is>
          <t>DP-VPX-0236-V1-01-LIBS-ARM-LIN5V10</t>
        </is>
      </c>
      <c r="E56" s="36" t="inlineStr"/>
      <c r="F56" s="36" t="inlineStr"/>
      <c r="G56" s="36" t="inlineStr"/>
      <c r="H56" s="35" t="n">
        <v>7</v>
      </c>
      <c r="I56" s="36" t="inlineStr">
        <is>
          <t>2025-11-06</t>
        </is>
      </c>
      <c r="J56" s="36" t="inlineStr">
        <is>
          <t>2025-12-02</t>
        </is>
      </c>
      <c r="K56" s="35" t="n">
        <v>26</v>
      </c>
      <c r="L56" s="38" t="inlineStr">
        <is>
          <t>Available</t>
        </is>
      </c>
      <c r="M56" s="36" t="inlineStr"/>
      <c r="N56" s="36" t="inlineStr">
        <is>
          <t>Computing</t>
        </is>
      </c>
    </row>
    <row r="57" ht="14" customHeight="1">
      <c r="A57" s="39" t="n">
        <v>56</v>
      </c>
      <c r="B57" s="40" t="inlineStr"/>
      <c r="C57" s="40" t="inlineStr">
        <is>
          <t>DP-VPX-2606</t>
        </is>
      </c>
      <c r="D57" s="41" t="inlineStr">
        <is>
          <t>DP-VPX-2606-V1-01-AS-ARM-LIN5V10</t>
        </is>
      </c>
      <c r="E57" s="40" t="inlineStr">
        <is>
          <t>Shiva Parvathi</t>
        </is>
      </c>
      <c r="F57" s="40" t="inlineStr">
        <is>
          <t>Testing Stage</t>
        </is>
      </c>
      <c r="G57" s="40" t="inlineStr">
        <is>
          <t>UNDER PROGRESS</t>
        </is>
      </c>
      <c r="H57" s="39" t="n">
        <v>7</v>
      </c>
      <c r="I57" s="40" t="inlineStr">
        <is>
          <t>2025-09-02</t>
        </is>
      </c>
      <c r="J57" s="40" t="inlineStr">
        <is>
          <t>2025-12-10</t>
        </is>
      </c>
      <c r="K57" s="39" t="n">
        <v>99</v>
      </c>
      <c r="L57" s="38" t="inlineStr">
        <is>
          <t>Available</t>
        </is>
      </c>
      <c r="M57" s="40" t="inlineStr"/>
      <c r="N57" s="40" t="inlineStr">
        <is>
          <t>Computing</t>
        </is>
      </c>
    </row>
    <row r="58" ht="14" customHeight="1">
      <c r="A58" s="35" t="n">
        <v>57</v>
      </c>
      <c r="B58" s="36" t="inlineStr"/>
      <c r="C58" s="36" t="inlineStr"/>
      <c r="D58" s="37" t="inlineStr">
        <is>
          <t>DP-VPX-2606-V1-01-DS-ARM-LIN5V10</t>
        </is>
      </c>
      <c r="E58" s="36" t="inlineStr"/>
      <c r="F58" s="36" t="inlineStr"/>
      <c r="G58" s="36" t="inlineStr"/>
      <c r="H58" s="35" t="n">
        <v>6</v>
      </c>
      <c r="I58" s="36" t="inlineStr">
        <is>
          <t>2025-09-02</t>
        </is>
      </c>
      <c r="J58" s="36" t="inlineStr">
        <is>
          <t>2025-12-30</t>
        </is>
      </c>
      <c r="K58" s="35" t="n">
        <v>119</v>
      </c>
      <c r="L58" s="38" t="inlineStr">
        <is>
          <t>Available</t>
        </is>
      </c>
      <c r="M58" s="36" t="inlineStr"/>
      <c r="N58" s="36" t="inlineStr">
        <is>
          <t>Computing</t>
        </is>
      </c>
    </row>
    <row r="59" ht="14" customHeight="1">
      <c r="A59" s="39" t="n">
        <v>58</v>
      </c>
      <c r="B59" s="40" t="inlineStr"/>
      <c r="C59" s="40" t="inlineStr"/>
      <c r="D59" s="41" t="inlineStr">
        <is>
          <t>DP-VPX-2606-V1-01-LIBS-ARM-LIN5V10</t>
        </is>
      </c>
      <c r="E59" s="40" t="inlineStr"/>
      <c r="F59" s="40" t="inlineStr"/>
      <c r="G59" s="40" t="inlineStr"/>
      <c r="H59" s="39" t="n">
        <v>5</v>
      </c>
      <c r="I59" s="40" t="inlineStr">
        <is>
          <t>2025-09-02</t>
        </is>
      </c>
      <c r="J59" s="40" t="inlineStr">
        <is>
          <t>2025-12-10</t>
        </is>
      </c>
      <c r="K59" s="39" t="n">
        <v>99</v>
      </c>
      <c r="L59" s="38" t="inlineStr">
        <is>
          <t>Available</t>
        </is>
      </c>
      <c r="M59" s="40" t="inlineStr"/>
      <c r="N59" s="40" t="inlineStr">
        <is>
          <t>Computing</t>
        </is>
      </c>
    </row>
    <row r="60" ht="14" customHeight="1">
      <c r="A60" s="35" t="n">
        <v>59</v>
      </c>
      <c r="B60" s="36" t="inlineStr">
        <is>
          <t>YEA2936</t>
        </is>
      </c>
      <c r="C60" s="36" t="inlineStr">
        <is>
          <t>DP-XMC-5049</t>
        </is>
      </c>
      <c r="D60" s="37" t="inlineStr">
        <is>
          <t>DP-XMC-5049-V1-01-AS-X86_64-LIN5V14</t>
        </is>
      </c>
      <c r="E60" s="36" t="inlineStr">
        <is>
          <t>Kaushik</t>
        </is>
      </c>
      <c r="F60" s="36" t="inlineStr">
        <is>
          <t>Testing Stage</t>
        </is>
      </c>
      <c r="G60" s="36" t="inlineStr">
        <is>
          <t>UNDER PROGRESS</t>
        </is>
      </c>
      <c r="H60" s="35" t="n">
        <v>4</v>
      </c>
      <c r="I60" s="36" t="inlineStr">
        <is>
          <t>2025-07-25</t>
        </is>
      </c>
      <c r="J60" s="36" t="inlineStr">
        <is>
          <t>2026-02-04</t>
        </is>
      </c>
      <c r="K60" s="35" t="n">
        <v>194</v>
      </c>
      <c r="L60" s="38" t="inlineStr">
        <is>
          <t>Available</t>
        </is>
      </c>
      <c r="M60" s="36" t="inlineStr"/>
      <c r="N60" s="36" t="inlineStr">
        <is>
          <t>Computing</t>
        </is>
      </c>
    </row>
    <row r="61" ht="14" customHeight="1">
      <c r="A61" s="39" t="n">
        <v>60</v>
      </c>
      <c r="B61" s="40" t="inlineStr"/>
      <c r="C61" s="40" t="inlineStr"/>
      <c r="D61" s="41" t="inlineStr">
        <is>
          <t>DP-XMC-5049-V1-01-AS-X86_64-WIN10</t>
        </is>
      </c>
      <c r="E61" s="40" t="inlineStr"/>
      <c r="F61" s="40" t="inlineStr"/>
      <c r="G61" s="40" t="inlineStr"/>
      <c r="H61" s="39" t="n">
        <v>8</v>
      </c>
      <c r="I61" s="40" t="inlineStr">
        <is>
          <t>2025-07-25</t>
        </is>
      </c>
      <c r="J61" s="40" t="inlineStr">
        <is>
          <t>2026-02-04</t>
        </is>
      </c>
      <c r="K61" s="39" t="n">
        <v>194</v>
      </c>
      <c r="L61" s="38" t="inlineStr">
        <is>
          <t>Available</t>
        </is>
      </c>
      <c r="M61" s="40" t="inlineStr"/>
      <c r="N61" s="40" t="inlineStr">
        <is>
          <t>Computing</t>
        </is>
      </c>
    </row>
    <row r="62" ht="14" customHeight="1">
      <c r="A62" s="35" t="n">
        <v>61</v>
      </c>
      <c r="B62" s="36" t="inlineStr"/>
      <c r="C62" s="36" t="inlineStr"/>
      <c r="D62" s="37" t="inlineStr">
        <is>
          <t>DP-XMC-5049-V1-01-DS-X86_64-LIN5V14</t>
        </is>
      </c>
      <c r="E62" s="36" t="inlineStr"/>
      <c r="F62" s="36" t="inlineStr"/>
      <c r="G62" s="36" t="inlineStr"/>
      <c r="H62" s="35" t="n">
        <v>3</v>
      </c>
      <c r="I62" s="36" t="inlineStr">
        <is>
          <t>2025-07-25</t>
        </is>
      </c>
      <c r="J62" s="36" t="inlineStr">
        <is>
          <t>2025-10-01</t>
        </is>
      </c>
      <c r="K62" s="35" t="n">
        <v>68</v>
      </c>
      <c r="L62" s="38" t="inlineStr">
        <is>
          <t>Available</t>
        </is>
      </c>
      <c r="M62" s="36" t="inlineStr"/>
      <c r="N62" s="36" t="inlineStr">
        <is>
          <t>Computing</t>
        </is>
      </c>
    </row>
    <row r="63" ht="14" customHeight="1">
      <c r="A63" s="39" t="n">
        <v>62</v>
      </c>
      <c r="B63" s="40" t="inlineStr"/>
      <c r="C63" s="40" t="inlineStr"/>
      <c r="D63" s="41" t="inlineStr">
        <is>
          <t>DP-XMC-5049-V1-01-FWS-SAMD51</t>
        </is>
      </c>
      <c r="E63" s="40" t="inlineStr"/>
      <c r="F63" s="40" t="inlineStr"/>
      <c r="G63" s="40" t="inlineStr"/>
      <c r="H63" s="39" t="n">
        <v>12</v>
      </c>
      <c r="I63" s="40" t="inlineStr">
        <is>
          <t>2025-07-25</t>
        </is>
      </c>
      <c r="J63" s="40" t="inlineStr">
        <is>
          <t>2026-01-02</t>
        </is>
      </c>
      <c r="K63" s="39" t="n">
        <v>161</v>
      </c>
      <c r="L63" s="38" t="inlineStr">
        <is>
          <t>Available</t>
        </is>
      </c>
      <c r="M63" s="40" t="inlineStr"/>
      <c r="N63" s="40" t="inlineStr">
        <is>
          <t>Computing</t>
        </is>
      </c>
    </row>
    <row r="64" ht="14" customHeight="1">
      <c r="A64" s="35" t="n">
        <v>63</v>
      </c>
      <c r="B64" s="36" t="inlineStr"/>
      <c r="C64" s="36" t="inlineStr"/>
      <c r="D64" s="37" t="inlineStr">
        <is>
          <t>DP-XMC-5049-V1-01-LIBS-X86_64-LIN5V14</t>
        </is>
      </c>
      <c r="E64" s="36" t="inlineStr"/>
      <c r="F64" s="36" t="inlineStr"/>
      <c r="G64" s="36" t="inlineStr"/>
      <c r="H64" s="35" t="n">
        <v>5</v>
      </c>
      <c r="I64" s="36" t="inlineStr">
        <is>
          <t>2025-07-25</t>
        </is>
      </c>
      <c r="J64" s="36" t="inlineStr">
        <is>
          <t>2026-02-04</t>
        </is>
      </c>
      <c r="K64" s="35" t="n">
        <v>194</v>
      </c>
      <c r="L64" s="38" t="inlineStr">
        <is>
          <t>Available</t>
        </is>
      </c>
      <c r="M64" s="36" t="inlineStr"/>
      <c r="N64" s="36" t="inlineStr">
        <is>
          <t>Computing</t>
        </is>
      </c>
    </row>
    <row r="65" ht="14" customHeight="1">
      <c r="A65" s="39" t="n">
        <v>64</v>
      </c>
      <c r="B65" s="40" t="inlineStr">
        <is>
          <t>YEC2826</t>
        </is>
      </c>
      <c r="C65" s="40" t="inlineStr">
        <is>
          <t>DP-VPX-1031</t>
        </is>
      </c>
      <c r="D65" s="41" t="inlineStr">
        <is>
          <t>DP-VPX-1031-V1-01-AS-PPC-LINUX-1V00</t>
        </is>
      </c>
      <c r="E65" s="40" t="inlineStr">
        <is>
          <t>Sriram</t>
        </is>
      </c>
      <c r="F65" s="40" t="inlineStr">
        <is>
          <t>Implementation Stage</t>
        </is>
      </c>
      <c r="G65" s="40" t="inlineStr">
        <is>
          <t>COMPLETED</t>
        </is>
      </c>
      <c r="H65" s="39" t="n">
        <v>2</v>
      </c>
      <c r="I65" s="40" t="inlineStr">
        <is>
          <t>2025-12-12</t>
        </is>
      </c>
      <c r="J65" s="40" t="inlineStr">
        <is>
          <t>2025-12-12</t>
        </is>
      </c>
      <c r="K65" s="39" t="n">
        <v>0</v>
      </c>
      <c r="L65" s="38" t="inlineStr">
        <is>
          <t>Available</t>
        </is>
      </c>
      <c r="M65" s="40" t="inlineStr"/>
      <c r="N65" s="40" t="inlineStr">
        <is>
          <t>Computing</t>
        </is>
      </c>
    </row>
    <row r="66" ht="14" customHeight="1">
      <c r="A66" s="35" t="n">
        <v>65</v>
      </c>
      <c r="B66" s="36" t="inlineStr"/>
      <c r="C66" s="36" t="inlineStr"/>
      <c r="D66" s="37" t="inlineStr">
        <is>
          <t>DP-VPX-1031-V1-01-DS-PPC-LINUX-1V00</t>
        </is>
      </c>
      <c r="E66" s="36" t="inlineStr"/>
      <c r="F66" s="36" t="inlineStr"/>
      <c r="G66" s="36" t="inlineStr"/>
      <c r="H66" s="35" t="n">
        <v>4</v>
      </c>
      <c r="I66" s="36" t="inlineStr">
        <is>
          <t>2025-12-12</t>
        </is>
      </c>
      <c r="J66" s="36" t="inlineStr">
        <is>
          <t>2026-01-08</t>
        </is>
      </c>
      <c r="K66" s="35" t="n">
        <v>27</v>
      </c>
      <c r="L66" s="38" t="inlineStr">
        <is>
          <t>Available</t>
        </is>
      </c>
      <c r="M66" s="36" t="inlineStr"/>
      <c r="N66" s="36" t="inlineStr">
        <is>
          <t>Computing</t>
        </is>
      </c>
    </row>
    <row r="67" ht="14" customHeight="1">
      <c r="A67" s="39" t="n">
        <v>66</v>
      </c>
      <c r="B67" s="40" t="inlineStr"/>
      <c r="C67" s="40" t="inlineStr"/>
      <c r="D67" s="41" t="inlineStr">
        <is>
          <t>DP-VPX-1031-V1-01-LIBS-PPC-LINUX-1V00</t>
        </is>
      </c>
      <c r="E67" s="40" t="inlineStr"/>
      <c r="F67" s="40" t="inlineStr"/>
      <c r="G67" s="40" t="inlineStr"/>
      <c r="H67" s="39" t="n">
        <v>2</v>
      </c>
      <c r="I67" s="40" t="inlineStr">
        <is>
          <t>2025-12-12</t>
        </is>
      </c>
      <c r="J67" s="40" t="inlineStr">
        <is>
          <t>2025-12-15</t>
        </is>
      </c>
      <c r="K67" s="39" t="n">
        <v>3</v>
      </c>
      <c r="L67" s="38" t="inlineStr">
        <is>
          <t>Available</t>
        </is>
      </c>
      <c r="M67" s="40" t="inlineStr"/>
      <c r="N67" s="40" t="inlineStr">
        <is>
          <t>Computing</t>
        </is>
      </c>
    </row>
    <row r="68" ht="14" customHeight="1">
      <c r="A68" s="35" t="n">
        <v>67</v>
      </c>
      <c r="B68" s="36" t="inlineStr"/>
      <c r="C68" s="36" t="inlineStr"/>
      <c r="D68" s="37" t="inlineStr">
        <is>
          <t>DP-VPX-1031-V1-01-US-PPC-LINUX-1V00</t>
        </is>
      </c>
      <c r="E68" s="36" t="inlineStr"/>
      <c r="F68" s="36" t="inlineStr"/>
      <c r="G68" s="36" t="inlineStr"/>
      <c r="H68" s="35" t="n">
        <v>2</v>
      </c>
      <c r="I68" s="36" t="inlineStr">
        <is>
          <t>2025-12-12</t>
        </is>
      </c>
      <c r="J68" s="36" t="inlineStr">
        <is>
          <t>2025-12-15</t>
        </is>
      </c>
      <c r="K68" s="35" t="n">
        <v>3</v>
      </c>
      <c r="L68" s="38" t="inlineStr">
        <is>
          <t>Available</t>
        </is>
      </c>
      <c r="M68" s="36" t="inlineStr"/>
      <c r="N68" s="36" t="inlineStr">
        <is>
          <t>Computing</t>
        </is>
      </c>
    </row>
    <row r="69" ht="14" customHeight="1">
      <c r="A69" s="39" t="n">
        <v>68</v>
      </c>
      <c r="B69" s="40" t="inlineStr">
        <is>
          <t>YEA2960</t>
        </is>
      </c>
      <c r="C69" s="40" t="inlineStr">
        <is>
          <t>DP-OBC-8196</t>
        </is>
      </c>
      <c r="D69" s="41" t="inlineStr">
        <is>
          <t>DP-OBC-8196-V1-01-AS-X86-W10</t>
        </is>
      </c>
      <c r="E69" s="40" t="inlineStr">
        <is>
          <t>Hafeez</t>
        </is>
      </c>
      <c r="F69" s="40" t="inlineStr">
        <is>
          <t>Testing Stage</t>
        </is>
      </c>
      <c r="G69" s="40" t="inlineStr">
        <is>
          <t>SETUP UNAVAILABLE</t>
        </is>
      </c>
      <c r="H69" s="39" t="n">
        <v>9</v>
      </c>
      <c r="I69" s="40" t="inlineStr">
        <is>
          <t>2025-08-28</t>
        </is>
      </c>
      <c r="J69" s="40" t="inlineStr">
        <is>
          <t>2025-12-09</t>
        </is>
      </c>
      <c r="K69" s="39" t="n">
        <v>103</v>
      </c>
      <c r="L69" s="38" t="inlineStr">
        <is>
          <t>Available</t>
        </is>
      </c>
      <c r="M69" s="40" t="inlineStr"/>
      <c r="N69" s="40" t="inlineStr">
        <is>
          <t>Computing</t>
        </is>
      </c>
    </row>
    <row r="70" ht="14" customHeight="1">
      <c r="A70" s="35" t="n">
        <v>69</v>
      </c>
      <c r="B70" s="36" t="inlineStr"/>
      <c r="C70" s="36" t="inlineStr"/>
      <c r="D70" s="37" t="inlineStr">
        <is>
          <t>DP-OBC-8196-V1-01-IS-X86-W10</t>
        </is>
      </c>
      <c r="E70" s="36" t="inlineStr"/>
      <c r="F70" s="36" t="inlineStr"/>
      <c r="G70" s="36" t="inlineStr"/>
      <c r="H70" s="35" t="n">
        <v>1</v>
      </c>
      <c r="I70" s="36" t="inlineStr">
        <is>
          <t>2025-08-28</t>
        </is>
      </c>
      <c r="J70" s="36" t="inlineStr">
        <is>
          <t>2025-08-28</t>
        </is>
      </c>
      <c r="K70" s="35" t="n">
        <v>0</v>
      </c>
      <c r="L70" s="38" t="inlineStr">
        <is>
          <t>Available</t>
        </is>
      </c>
      <c r="M70" s="36" t="inlineStr"/>
      <c r="N70" s="36" t="inlineStr">
        <is>
          <t>Computing</t>
        </is>
      </c>
    </row>
    <row r="71" ht="14" customHeight="1">
      <c r="A71" s="39" t="n">
        <v>70</v>
      </c>
      <c r="B71" s="40" t="inlineStr"/>
      <c r="C71" s="40" t="inlineStr">
        <is>
          <t>DP-VPX-0500</t>
        </is>
      </c>
      <c r="D71" s="41" t="inlineStr">
        <is>
          <t>DP-VPX-0500-66033-V1-01-AS-ISBC-x86-LIN5V14</t>
        </is>
      </c>
      <c r="E71" s="40" t="inlineStr">
        <is>
          <t>Shahin</t>
        </is>
      </c>
      <c r="F71" s="40" t="inlineStr">
        <is>
          <t>Implementation Stage</t>
        </is>
      </c>
      <c r="G71" s="40" t="inlineStr">
        <is>
          <t>SETUP UNAVAILABLE</t>
        </is>
      </c>
      <c r="H71" s="39" t="n">
        <v>4</v>
      </c>
      <c r="I71" s="40" t="inlineStr">
        <is>
          <t>2025-08-28</t>
        </is>
      </c>
      <c r="J71" s="40" t="inlineStr">
        <is>
          <t>2025-10-28</t>
        </is>
      </c>
      <c r="K71" s="39" t="n">
        <v>61</v>
      </c>
      <c r="L71" s="38" t="inlineStr">
        <is>
          <t>Available</t>
        </is>
      </c>
      <c r="M71" s="40" t="inlineStr"/>
      <c r="N71" s="40" t="inlineStr">
        <is>
          <t>Computing</t>
        </is>
      </c>
    </row>
    <row r="72" ht="14" customHeight="1">
      <c r="A72" s="35" t="n">
        <v>71</v>
      </c>
      <c r="B72" s="36" t="inlineStr"/>
      <c r="C72" s="36" t="inlineStr"/>
      <c r="D72" s="37" t="inlineStr">
        <is>
          <t>DP-VPX-0500-66033-V1-01-AS-ISBC-X86-W10</t>
        </is>
      </c>
      <c r="E72" s="36" t="inlineStr"/>
      <c r="F72" s="36" t="inlineStr"/>
      <c r="G72" s="36" t="inlineStr"/>
      <c r="H72" s="35" t="n">
        <v>10</v>
      </c>
      <c r="I72" s="36" t="inlineStr">
        <is>
          <t>2025-08-28</t>
        </is>
      </c>
      <c r="J72" s="36" t="inlineStr">
        <is>
          <t>2026-02-04</t>
        </is>
      </c>
      <c r="K72" s="35" t="n">
        <v>160</v>
      </c>
      <c r="L72" s="38" t="inlineStr">
        <is>
          <t>Available</t>
        </is>
      </c>
      <c r="M72" s="36" t="inlineStr"/>
      <c r="N72" s="36" t="inlineStr">
        <is>
          <t>Computing</t>
        </is>
      </c>
    </row>
    <row r="73" ht="14" customHeight="1">
      <c r="A73" s="39" t="n">
        <v>72</v>
      </c>
      <c r="B73" s="40" t="inlineStr"/>
      <c r="C73" s="40" t="inlineStr"/>
      <c r="D73" s="41" t="inlineStr">
        <is>
          <t>DP-VPX-0500-66033-V1-01-DS-ISBC-x86-LIN5V14</t>
        </is>
      </c>
      <c r="E73" s="40" t="inlineStr"/>
      <c r="F73" s="40" t="inlineStr"/>
      <c r="G73" s="40" t="inlineStr"/>
      <c r="H73" s="39" t="n">
        <v>1</v>
      </c>
      <c r="I73" s="40" t="inlineStr">
        <is>
          <t>2025-08-28</t>
        </is>
      </c>
      <c r="J73" s="40" t="inlineStr">
        <is>
          <t>2025-08-28</t>
        </is>
      </c>
      <c r="K73" s="39" t="n">
        <v>0</v>
      </c>
      <c r="L73" s="38" t="inlineStr">
        <is>
          <t>Available</t>
        </is>
      </c>
      <c r="M73" s="40" t="inlineStr"/>
      <c r="N73" s="40" t="inlineStr">
        <is>
          <t>Computing</t>
        </is>
      </c>
    </row>
    <row r="74" ht="14" customHeight="1">
      <c r="A74" s="35" t="n">
        <v>73</v>
      </c>
      <c r="B74" s="36" t="inlineStr"/>
      <c r="C74" s="36" t="inlineStr"/>
      <c r="D74" s="37" t="inlineStr">
        <is>
          <t>DP-VPX-0500-66033-V1-01-IS-ISBC-X86-W10</t>
        </is>
      </c>
      <c r="E74" s="36" t="inlineStr"/>
      <c r="F74" s="36" t="inlineStr"/>
      <c r="G74" s="36" t="inlineStr"/>
      <c r="H74" s="35" t="n">
        <v>1</v>
      </c>
      <c r="I74" s="36" t="inlineStr">
        <is>
          <t>2025-08-28</t>
        </is>
      </c>
      <c r="J74" s="36" t="inlineStr">
        <is>
          <t>2025-08-28</t>
        </is>
      </c>
      <c r="K74" s="35" t="n">
        <v>0</v>
      </c>
      <c r="L74" s="38" t="inlineStr">
        <is>
          <t>Available</t>
        </is>
      </c>
      <c r="M74" s="36" t="inlineStr"/>
      <c r="N74" s="36" t="inlineStr">
        <is>
          <t>Computing</t>
        </is>
      </c>
    </row>
    <row r="75" ht="14" customHeight="1">
      <c r="A75" s="39" t="n">
        <v>74</v>
      </c>
      <c r="B75" s="40" t="inlineStr"/>
      <c r="C75" s="40" t="inlineStr"/>
      <c r="D75" s="41" t="inlineStr">
        <is>
          <t>DP-VPX-0500-66033-V1-01-LIBS-ISBC-x86-LIN5V14</t>
        </is>
      </c>
      <c r="E75" s="40" t="inlineStr"/>
      <c r="F75" s="40" t="inlineStr"/>
      <c r="G75" s="40" t="inlineStr"/>
      <c r="H75" s="39" t="n">
        <v>5</v>
      </c>
      <c r="I75" s="40" t="inlineStr">
        <is>
          <t>2025-08-28</t>
        </is>
      </c>
      <c r="J75" s="40" t="inlineStr">
        <is>
          <t>2025-09-30</t>
        </is>
      </c>
      <c r="K75" s="39" t="n">
        <v>33</v>
      </c>
      <c r="L75" s="38" t="inlineStr">
        <is>
          <t>Available</t>
        </is>
      </c>
      <c r="M75" s="40" t="inlineStr"/>
      <c r="N75" s="40" t="inlineStr">
        <is>
          <t>Computing</t>
        </is>
      </c>
    </row>
    <row r="76" ht="14" customHeight="1">
      <c r="A76" s="35" t="n">
        <v>75</v>
      </c>
      <c r="B76" s="36" t="inlineStr"/>
      <c r="C76" s="36" t="inlineStr"/>
      <c r="D76" s="37" t="inlineStr">
        <is>
          <t>DP-VPX-0500-66300-V1-01-AS-NSBC-x86-LIN5V14</t>
        </is>
      </c>
      <c r="E76" s="36" t="inlineStr"/>
      <c r="F76" s="36" t="inlineStr"/>
      <c r="G76" s="36" t="inlineStr"/>
      <c r="H76" s="35" t="n">
        <v>3</v>
      </c>
      <c r="I76" s="36" t="inlineStr">
        <is>
          <t>2025-08-28</t>
        </is>
      </c>
      <c r="J76" s="36" t="inlineStr">
        <is>
          <t>2025-10-01</t>
        </is>
      </c>
      <c r="K76" s="35" t="n">
        <v>34</v>
      </c>
      <c r="L76" s="38" t="inlineStr">
        <is>
          <t>Available</t>
        </is>
      </c>
      <c r="M76" s="36" t="inlineStr"/>
      <c r="N76" s="36" t="inlineStr">
        <is>
          <t>Computing</t>
        </is>
      </c>
    </row>
    <row r="77" ht="14" customHeight="1">
      <c r="A77" s="39" t="n">
        <v>76</v>
      </c>
      <c r="B77" s="40" t="inlineStr"/>
      <c r="C77" s="40" t="inlineStr"/>
      <c r="D77" s="41" t="inlineStr">
        <is>
          <t>DP-VPX-0500-66300-V1-01-AS-NSBC-X86-W10</t>
        </is>
      </c>
      <c r="E77" s="40" t="inlineStr"/>
      <c r="F77" s="40" t="inlineStr"/>
      <c r="G77" s="40" t="inlineStr"/>
      <c r="H77" s="39" t="n">
        <v>1</v>
      </c>
      <c r="I77" s="40" t="inlineStr">
        <is>
          <t>2025-08-28</t>
        </is>
      </c>
      <c r="J77" s="40" t="inlineStr">
        <is>
          <t>2025-08-28</t>
        </is>
      </c>
      <c r="K77" s="39" t="n">
        <v>0</v>
      </c>
      <c r="L77" s="38" t="inlineStr">
        <is>
          <t>Available</t>
        </is>
      </c>
      <c r="M77" s="40" t="inlineStr"/>
      <c r="N77" s="40" t="inlineStr">
        <is>
          <t>Computing</t>
        </is>
      </c>
    </row>
    <row r="78" ht="14" customHeight="1">
      <c r="A78" s="35" t="n">
        <v>77</v>
      </c>
      <c r="B78" s="36" t="inlineStr"/>
      <c r="C78" s="36" t="inlineStr"/>
      <c r="D78" s="37" t="inlineStr">
        <is>
          <t>DP-VPX-0500-66300-V1-01-DS-NSBC-x86-LIN5V14</t>
        </is>
      </c>
      <c r="E78" s="36" t="inlineStr"/>
      <c r="F78" s="36" t="inlineStr"/>
      <c r="G78" s="36" t="inlineStr"/>
      <c r="H78" s="35" t="n">
        <v>1</v>
      </c>
      <c r="I78" s="36" t="inlineStr">
        <is>
          <t>2025-08-28</t>
        </is>
      </c>
      <c r="J78" s="36" t="inlineStr">
        <is>
          <t>2025-08-28</t>
        </is>
      </c>
      <c r="K78" s="35" t="n">
        <v>0</v>
      </c>
      <c r="L78" s="38" t="inlineStr">
        <is>
          <t>Available</t>
        </is>
      </c>
      <c r="M78" s="36" t="inlineStr"/>
      <c r="N78" s="36" t="inlineStr">
        <is>
          <t>Computing</t>
        </is>
      </c>
    </row>
    <row r="79" ht="14" customHeight="1">
      <c r="A79" s="39" t="n">
        <v>78</v>
      </c>
      <c r="B79" s="40" t="inlineStr"/>
      <c r="C79" s="40" t="inlineStr"/>
      <c r="D79" s="41" t="inlineStr">
        <is>
          <t>DP-VPX-0500-66300-V1-01-IS-NSBC-X86-W10</t>
        </is>
      </c>
      <c r="E79" s="40" t="inlineStr"/>
      <c r="F79" s="40" t="inlineStr"/>
      <c r="G79" s="40" t="inlineStr"/>
      <c r="H79" s="39" t="n">
        <v>1</v>
      </c>
      <c r="I79" s="40" t="inlineStr">
        <is>
          <t>2025-08-28</t>
        </is>
      </c>
      <c r="J79" s="40" t="inlineStr">
        <is>
          <t>2025-08-28</t>
        </is>
      </c>
      <c r="K79" s="39" t="n">
        <v>0</v>
      </c>
      <c r="L79" s="38" t="inlineStr">
        <is>
          <t>Available</t>
        </is>
      </c>
      <c r="M79" s="40" t="inlineStr"/>
      <c r="N79" s="40" t="inlineStr">
        <is>
          <t>Computing</t>
        </is>
      </c>
    </row>
    <row r="80" ht="14" customHeight="1">
      <c r="A80" s="35" t="n">
        <v>79</v>
      </c>
      <c r="B80" s="36" t="inlineStr"/>
      <c r="C80" s="36" t="inlineStr"/>
      <c r="D80" s="37" t="inlineStr">
        <is>
          <t>DP-VPX-0500-66300-V1-01-LIBS-NSBC-x86-LIN5V14</t>
        </is>
      </c>
      <c r="E80" s="36" t="inlineStr"/>
      <c r="F80" s="36" t="inlineStr"/>
      <c r="G80" s="36" t="inlineStr"/>
      <c r="H80" s="35" t="n">
        <v>1</v>
      </c>
      <c r="I80" s="36" t="inlineStr">
        <is>
          <t>2025-08-28</t>
        </is>
      </c>
      <c r="J80" s="36" t="inlineStr">
        <is>
          <t>2025-08-28</t>
        </is>
      </c>
      <c r="K80" s="35" t="n">
        <v>0</v>
      </c>
      <c r="L80" s="38" t="inlineStr">
        <is>
          <t>Available</t>
        </is>
      </c>
      <c r="M80" s="36" t="inlineStr"/>
      <c r="N80" s="36" t="inlineStr">
        <is>
          <t>Computing</t>
        </is>
      </c>
    </row>
    <row r="81" ht="14" customHeight="1">
      <c r="A81" s="39" t="n">
        <v>80</v>
      </c>
      <c r="B81" s="40" t="inlineStr"/>
      <c r="C81" s="40" t="inlineStr">
        <is>
          <t>DP-VPX-5291</t>
        </is>
      </c>
      <c r="D81" s="41" t="inlineStr">
        <is>
          <t>DP-VPX-5291-V1-01-AS-ARM-LIN6V6</t>
        </is>
      </c>
      <c r="E81" s="40" t="inlineStr"/>
      <c r="F81" s="40" t="inlineStr">
        <is>
          <t>Implementation Stage</t>
        </is>
      </c>
      <c r="G81" s="40" t="inlineStr">
        <is>
          <t>SETUP UNAVAILABLE</t>
        </is>
      </c>
      <c r="H81" s="39" t="n">
        <v>2</v>
      </c>
      <c r="I81" s="40" t="inlineStr">
        <is>
          <t>2025-08-28</t>
        </is>
      </c>
      <c r="J81" s="40" t="inlineStr">
        <is>
          <t>2026-01-06</t>
        </is>
      </c>
      <c r="K81" s="39" t="n">
        <v>131</v>
      </c>
      <c r="L81" s="38" t="inlineStr">
        <is>
          <t>Available</t>
        </is>
      </c>
      <c r="M81" s="40" t="inlineStr"/>
      <c r="N81" s="40" t="inlineStr">
        <is>
          <t>Computing</t>
        </is>
      </c>
    </row>
    <row r="82" ht="14" customHeight="1">
      <c r="A82" s="35" t="n">
        <v>81</v>
      </c>
      <c r="B82" s="36" t="inlineStr"/>
      <c r="C82" s="36" t="inlineStr"/>
      <c r="D82" s="37" t="inlineStr">
        <is>
          <t>DP-VPX-5291-V1-01-AS-X86-W10</t>
        </is>
      </c>
      <c r="E82" s="36" t="inlineStr"/>
      <c r="F82" s="36" t="inlineStr"/>
      <c r="G82" s="36" t="inlineStr"/>
      <c r="H82" s="35" t="n">
        <v>6</v>
      </c>
      <c r="I82" s="36" t="inlineStr">
        <is>
          <t>2025-08-28</t>
        </is>
      </c>
      <c r="J82" s="36" t="inlineStr">
        <is>
          <t>2026-01-06</t>
        </is>
      </c>
      <c r="K82" s="35" t="n">
        <v>131</v>
      </c>
      <c r="L82" s="38" t="inlineStr">
        <is>
          <t>Available</t>
        </is>
      </c>
      <c r="M82" s="36" t="inlineStr"/>
      <c r="N82" s="36" t="inlineStr">
        <is>
          <t>Computing</t>
        </is>
      </c>
    </row>
    <row r="83" ht="14" customHeight="1">
      <c r="A83" s="39" t="n">
        <v>82</v>
      </c>
      <c r="B83" s="40" t="inlineStr"/>
      <c r="C83" s="40" t="inlineStr"/>
      <c r="D83" s="41" t="inlineStr">
        <is>
          <t>DP-VPX-5291-V1-01-DS-ARM-LIN6V6</t>
        </is>
      </c>
      <c r="E83" s="40" t="inlineStr"/>
      <c r="F83" s="40" t="inlineStr"/>
      <c r="G83" s="40" t="inlineStr"/>
      <c r="H83" s="39" t="n">
        <v>2</v>
      </c>
      <c r="I83" s="40" t="inlineStr">
        <is>
          <t>2025-08-28</t>
        </is>
      </c>
      <c r="J83" s="40" t="inlineStr">
        <is>
          <t>2026-01-05</t>
        </is>
      </c>
      <c r="K83" s="39" t="n">
        <v>130</v>
      </c>
      <c r="L83" s="38" t="inlineStr">
        <is>
          <t>Available</t>
        </is>
      </c>
      <c r="M83" s="40" t="inlineStr"/>
      <c r="N83" s="40" t="inlineStr">
        <is>
          <t>Computing</t>
        </is>
      </c>
    </row>
    <row r="84" ht="14" customHeight="1">
      <c r="A84" s="35" t="n">
        <v>83</v>
      </c>
      <c r="B84" s="36" t="inlineStr"/>
      <c r="C84" s="36" t="inlineStr"/>
      <c r="D84" s="37" t="inlineStr">
        <is>
          <t>DP-VPX-5291-V1-01-IS-X86-W10</t>
        </is>
      </c>
      <c r="E84" s="36" t="inlineStr"/>
      <c r="F84" s="36" t="inlineStr"/>
      <c r="G84" s="36" t="inlineStr"/>
      <c r="H84" s="35" t="n">
        <v>1</v>
      </c>
      <c r="I84" s="36" t="inlineStr">
        <is>
          <t>2025-08-28</t>
        </is>
      </c>
      <c r="J84" s="36" t="inlineStr">
        <is>
          <t>2025-08-28</t>
        </is>
      </c>
      <c r="K84" s="35" t="n">
        <v>0</v>
      </c>
      <c r="L84" s="38" t="inlineStr">
        <is>
          <t>Available</t>
        </is>
      </c>
      <c r="M84" s="36" t="inlineStr"/>
      <c r="N84" s="36" t="inlineStr">
        <is>
          <t>Computing</t>
        </is>
      </c>
    </row>
    <row r="85" ht="14" customHeight="1">
      <c r="A85" s="39" t="n">
        <v>84</v>
      </c>
      <c r="B85" s="40" t="inlineStr"/>
      <c r="C85" s="40" t="inlineStr"/>
      <c r="D85" s="41" t="inlineStr">
        <is>
          <t>DP-VPX-5291-V1-01-LIBS-ARM-LIN6V6</t>
        </is>
      </c>
      <c r="E85" s="40" t="inlineStr"/>
      <c r="F85" s="40" t="inlineStr"/>
      <c r="G85" s="40" t="inlineStr"/>
      <c r="H85" s="39" t="n">
        <v>3</v>
      </c>
      <c r="I85" s="40" t="inlineStr">
        <is>
          <t>2025-08-28</t>
        </is>
      </c>
      <c r="J85" s="40" t="inlineStr">
        <is>
          <t>2026-01-06</t>
        </is>
      </c>
      <c r="K85" s="39" t="n">
        <v>131</v>
      </c>
      <c r="L85" s="38" t="inlineStr">
        <is>
          <t>Available</t>
        </is>
      </c>
      <c r="M85" s="40" t="inlineStr"/>
      <c r="N85" s="40" t="inlineStr">
        <is>
          <t>Computing</t>
        </is>
      </c>
    </row>
    <row r="86" ht="14" customHeight="1">
      <c r="A86" s="35" t="n">
        <v>85</v>
      </c>
      <c r="B86" s="36" t="inlineStr"/>
      <c r="C86" s="36" t="inlineStr"/>
      <c r="D86" s="37" t="inlineStr">
        <is>
          <t>DP-VPX-5291-V1-01-OSS-ARM-LIN6V6</t>
        </is>
      </c>
      <c r="E86" s="36" t="inlineStr"/>
      <c r="F86" s="36" t="inlineStr"/>
      <c r="G86" s="36" t="inlineStr"/>
      <c r="H86" s="35" t="n">
        <v>1</v>
      </c>
      <c r="I86" s="36" t="inlineStr">
        <is>
          <t>2025-08-28</t>
        </is>
      </c>
      <c r="J86" s="36" t="inlineStr">
        <is>
          <t>2025-08-28</t>
        </is>
      </c>
      <c r="K86" s="35" t="n">
        <v>0</v>
      </c>
      <c r="L86" s="38" t="inlineStr">
        <is>
          <t>Available</t>
        </is>
      </c>
      <c r="M86" s="36" t="inlineStr"/>
      <c r="N86" s="36" t="inlineStr">
        <is>
          <t>Computing</t>
        </is>
      </c>
    </row>
    <row r="87" ht="14" customHeight="1">
      <c r="A87" s="39" t="n">
        <v>86</v>
      </c>
      <c r="B87" s="40" t="inlineStr"/>
      <c r="C87" s="40" t="inlineStr">
        <is>
          <t>DP-VPX-6025</t>
        </is>
      </c>
      <c r="D87" s="41" t="inlineStr">
        <is>
          <t>DP-VPX-6025-V1-01-AS-ARM-LIN6V6</t>
        </is>
      </c>
      <c r="E87" s="40" t="inlineStr"/>
      <c r="F87" s="40" t="inlineStr">
        <is>
          <t>Implementation Stage</t>
        </is>
      </c>
      <c r="G87" s="40" t="inlineStr">
        <is>
          <t>SETUP UNAVAILABLE</t>
        </is>
      </c>
      <c r="H87" s="39" t="n">
        <v>8</v>
      </c>
      <c r="I87" s="40" t="inlineStr">
        <is>
          <t>2025-08-28</t>
        </is>
      </c>
      <c r="J87" s="40" t="inlineStr">
        <is>
          <t>2026-01-06</t>
        </is>
      </c>
      <c r="K87" s="39" t="n">
        <v>131</v>
      </c>
      <c r="L87" s="38" t="inlineStr">
        <is>
          <t>Available</t>
        </is>
      </c>
      <c r="M87" s="40" t="inlineStr"/>
      <c r="N87" s="40" t="inlineStr">
        <is>
          <t>Computing</t>
        </is>
      </c>
    </row>
    <row r="88" ht="14" customHeight="1">
      <c r="A88" s="35" t="n">
        <v>87</v>
      </c>
      <c r="B88" s="36" t="inlineStr"/>
      <c r="C88" s="36" t="inlineStr"/>
      <c r="D88" s="37" t="inlineStr">
        <is>
          <t>DP-VPX-6025-V1-01-AS-X86-W10</t>
        </is>
      </c>
      <c r="E88" s="36" t="inlineStr"/>
      <c r="F88" s="36" t="inlineStr"/>
      <c r="G88" s="36" t="inlineStr"/>
      <c r="H88" s="35" t="n">
        <v>10</v>
      </c>
      <c r="I88" s="36" t="inlineStr">
        <is>
          <t>2025-08-28</t>
        </is>
      </c>
      <c r="J88" s="36" t="inlineStr">
        <is>
          <t>2026-02-06</t>
        </is>
      </c>
      <c r="K88" s="35" t="n">
        <v>162</v>
      </c>
      <c r="L88" s="38" t="inlineStr">
        <is>
          <t>Available</t>
        </is>
      </c>
      <c r="M88" s="36" t="inlineStr"/>
      <c r="N88" s="36" t="inlineStr">
        <is>
          <t>Computing</t>
        </is>
      </c>
    </row>
    <row r="89" ht="14" customHeight="1">
      <c r="A89" s="39" t="n">
        <v>88</v>
      </c>
      <c r="B89" s="40" t="inlineStr"/>
      <c r="C89" s="40" t="inlineStr"/>
      <c r="D89" s="41" t="inlineStr">
        <is>
          <t>DP-VPX-6025-V1-01-DS-ARM-LIN6V6</t>
        </is>
      </c>
      <c r="E89" s="40" t="inlineStr"/>
      <c r="F89" s="40" t="inlineStr"/>
      <c r="G89" s="40" t="inlineStr"/>
      <c r="H89" s="39" t="n">
        <v>4</v>
      </c>
      <c r="I89" s="40" t="inlineStr">
        <is>
          <t>2025-08-28</t>
        </is>
      </c>
      <c r="J89" s="40" t="inlineStr">
        <is>
          <t>2025-12-29</t>
        </is>
      </c>
      <c r="K89" s="39" t="n">
        <v>123</v>
      </c>
      <c r="L89" s="38" t="inlineStr">
        <is>
          <t>Available</t>
        </is>
      </c>
      <c r="M89" s="40" t="inlineStr"/>
      <c r="N89" s="40" t="inlineStr">
        <is>
          <t>Computing</t>
        </is>
      </c>
    </row>
    <row r="90" ht="14" customHeight="1">
      <c r="A90" s="35" t="n">
        <v>89</v>
      </c>
      <c r="B90" s="36" t="inlineStr"/>
      <c r="C90" s="36" t="inlineStr"/>
      <c r="D90" s="37" t="inlineStr">
        <is>
          <t>DP-VPX-6025-V1-01-IS-X86-W10</t>
        </is>
      </c>
      <c r="E90" s="36" t="inlineStr"/>
      <c r="F90" s="36" t="inlineStr"/>
      <c r="G90" s="36" t="inlineStr"/>
      <c r="H90" s="35" t="n">
        <v>1</v>
      </c>
      <c r="I90" s="36" t="inlineStr">
        <is>
          <t>2025-08-28</t>
        </is>
      </c>
      <c r="J90" s="36" t="inlineStr">
        <is>
          <t>2025-08-28</t>
        </is>
      </c>
      <c r="K90" s="35" t="n">
        <v>0</v>
      </c>
      <c r="L90" s="38" t="inlineStr">
        <is>
          <t>Available</t>
        </is>
      </c>
      <c r="M90" s="36" t="inlineStr"/>
      <c r="N90" s="36" t="inlineStr">
        <is>
          <t>Computing</t>
        </is>
      </c>
    </row>
    <row r="91" ht="14" customHeight="1">
      <c r="A91" s="39" t="n">
        <v>90</v>
      </c>
      <c r="B91" s="40" t="inlineStr"/>
      <c r="C91" s="40" t="inlineStr"/>
      <c r="D91" s="41" t="inlineStr">
        <is>
          <t>DP-VPX-6025-V1-01-LIBS-ARM-LIN6V6</t>
        </is>
      </c>
      <c r="E91" s="40" t="inlineStr"/>
      <c r="F91" s="40" t="inlineStr"/>
      <c r="G91" s="40" t="inlineStr"/>
      <c r="H91" s="39" t="n">
        <v>8</v>
      </c>
      <c r="I91" s="40" t="inlineStr">
        <is>
          <t>2025-08-28</t>
        </is>
      </c>
      <c r="J91" s="40" t="inlineStr">
        <is>
          <t>2026-01-02</t>
        </is>
      </c>
      <c r="K91" s="39" t="n">
        <v>127</v>
      </c>
      <c r="L91" s="38" t="inlineStr">
        <is>
          <t>Available</t>
        </is>
      </c>
      <c r="M91" s="40" t="inlineStr"/>
      <c r="N91" s="40" t="inlineStr">
        <is>
          <t>Computing</t>
        </is>
      </c>
    </row>
    <row r="92" ht="14" customHeight="1">
      <c r="A92" s="35" t="n">
        <v>91</v>
      </c>
      <c r="B92" s="36" t="inlineStr"/>
      <c r="C92" s="36" t="inlineStr"/>
      <c r="D92" s="37" t="inlineStr">
        <is>
          <t>DP-VPX-6025-V1-01-OSS-ARM-LIN6V6</t>
        </is>
      </c>
      <c r="E92" s="36" t="inlineStr"/>
      <c r="F92" s="36" t="inlineStr"/>
      <c r="G92" s="36" t="inlineStr"/>
      <c r="H92" s="35" t="n">
        <v>1</v>
      </c>
      <c r="I92" s="36" t="inlineStr">
        <is>
          <t>2025-08-28</t>
        </is>
      </c>
      <c r="J92" s="36" t="inlineStr">
        <is>
          <t>2025-08-28</t>
        </is>
      </c>
      <c r="K92" s="35" t="n">
        <v>0</v>
      </c>
      <c r="L92" s="38" t="inlineStr">
        <is>
          <t>Available</t>
        </is>
      </c>
      <c r="M92" s="36" t="inlineStr"/>
      <c r="N92" s="36" t="inlineStr">
        <is>
          <t>Computing</t>
        </is>
      </c>
    </row>
    <row r="93" ht="14" customHeight="1">
      <c r="A93" s="39" t="n">
        <v>92</v>
      </c>
      <c r="B93" s="40" t="inlineStr"/>
      <c r="C93" s="40" t="inlineStr">
        <is>
          <t>DP-ATE-8486</t>
        </is>
      </c>
      <c r="D93" s="41" t="inlineStr">
        <is>
          <t>DP-ATE-8486</t>
        </is>
      </c>
      <c r="E93" s="40" t="inlineStr">
        <is>
          <t>Shahin</t>
        </is>
      </c>
      <c r="F93" s="40" t="inlineStr">
        <is>
          <t>Requirement Stage</t>
        </is>
      </c>
      <c r="G93" s="40" t="inlineStr">
        <is>
          <t>UNDER PROGRESS</t>
        </is>
      </c>
      <c r="H93" s="39" t="n">
        <v>0</v>
      </c>
      <c r="I93" s="40" t="inlineStr">
        <is>
          <t>-</t>
        </is>
      </c>
      <c r="J93" s="40" t="inlineStr">
        <is>
          <t>-</t>
        </is>
      </c>
      <c r="K93" s="39" t="inlineStr"/>
      <c r="L93" s="42" t="inlineStr">
        <is>
          <t>Not Available</t>
        </is>
      </c>
      <c r="M93" s="40" t="inlineStr"/>
      <c r="N93" s="40" t="inlineStr">
        <is>
          <t>Computing</t>
        </is>
      </c>
    </row>
    <row r="94" ht="14" customHeight="1">
      <c r="A94" s="35" t="n">
        <v>93</v>
      </c>
      <c r="B94" s="36" t="inlineStr">
        <is>
          <t>YEB3037</t>
        </is>
      </c>
      <c r="C94" s="36" t="inlineStr">
        <is>
          <t>DP-OBC-8211</t>
        </is>
      </c>
      <c r="D94" s="37" t="inlineStr">
        <is>
          <t>-</t>
        </is>
      </c>
      <c r="E94" s="36" t="inlineStr">
        <is>
          <t>-</t>
        </is>
      </c>
      <c r="F94" s="36" t="inlineStr">
        <is>
          <t>Requirement Stage</t>
        </is>
      </c>
      <c r="G94" s="36" t="inlineStr">
        <is>
          <t>UNDER PROGRESS</t>
        </is>
      </c>
      <c r="H94" s="35" t="n">
        <v>0</v>
      </c>
      <c r="I94" s="36" t="inlineStr">
        <is>
          <t>-</t>
        </is>
      </c>
      <c r="J94" s="36" t="inlineStr">
        <is>
          <t>-</t>
        </is>
      </c>
      <c r="K94" s="35" t="inlineStr"/>
      <c r="L94" s="42" t="inlineStr">
        <is>
          <t>Not Available</t>
        </is>
      </c>
      <c r="M94" s="36" t="inlineStr"/>
      <c r="N94" s="36" t="inlineStr">
        <is>
          <t>Computing</t>
        </is>
      </c>
    </row>
    <row r="95" ht="14" customHeight="1">
      <c r="A95" s="39" t="n">
        <v>94</v>
      </c>
      <c r="B95" s="40" t="inlineStr"/>
      <c r="C95" s="40" t="inlineStr">
        <is>
          <t>DP-SPL-0502</t>
        </is>
      </c>
      <c r="D95" s="41" t="inlineStr">
        <is>
          <t>-</t>
        </is>
      </c>
      <c r="E95" s="40" t="inlineStr">
        <is>
          <t>-</t>
        </is>
      </c>
      <c r="F95" s="40" t="inlineStr">
        <is>
          <t>Requirement Stage</t>
        </is>
      </c>
      <c r="G95" s="40" t="inlineStr">
        <is>
          <t>UNDER PROGRESS</t>
        </is>
      </c>
      <c r="H95" s="39" t="n">
        <v>0</v>
      </c>
      <c r="I95" s="40" t="inlineStr">
        <is>
          <t>-</t>
        </is>
      </c>
      <c r="J95" s="40" t="inlineStr">
        <is>
          <t>-</t>
        </is>
      </c>
      <c r="K95" s="39" t="inlineStr"/>
      <c r="L95" s="42" t="inlineStr">
        <is>
          <t>Not Available</t>
        </is>
      </c>
      <c r="M95" s="40" t="inlineStr"/>
      <c r="N95" s="40" t="inlineStr">
        <is>
          <t>Computing</t>
        </is>
      </c>
    </row>
    <row r="96" ht="14" customHeight="1">
      <c r="A96" s="35" t="n">
        <v>95</v>
      </c>
      <c r="B96" s="36" t="inlineStr">
        <is>
          <t>YIB2890</t>
        </is>
      </c>
      <c r="C96" s="36" t="inlineStr">
        <is>
          <t>DP-SPL-0241</t>
        </is>
      </c>
      <c r="D96" s="37" t="inlineStr">
        <is>
          <t>-</t>
        </is>
      </c>
      <c r="E96" s="36" t="inlineStr">
        <is>
          <t>-</t>
        </is>
      </c>
      <c r="F96" s="36" t="inlineStr">
        <is>
          <t>Requirement Stage</t>
        </is>
      </c>
      <c r="G96" s="36" t="inlineStr">
        <is>
          <t>UNDER PROGRESS</t>
        </is>
      </c>
      <c r="H96" s="35" t="n">
        <v>0</v>
      </c>
      <c r="I96" s="36" t="inlineStr">
        <is>
          <t>-</t>
        </is>
      </c>
      <c r="J96" s="36" t="inlineStr">
        <is>
          <t>-</t>
        </is>
      </c>
      <c r="K96" s="35" t="inlineStr"/>
      <c r="L96" s="42" t="inlineStr">
        <is>
          <t>Not Available</t>
        </is>
      </c>
      <c r="M96" s="36" t="inlineStr"/>
      <c r="N96" s="36" t="inlineStr">
        <is>
          <t>Computing</t>
        </is>
      </c>
    </row>
    <row r="97" ht="14" customHeight="1">
      <c r="A97" s="39" t="n">
        <v>96</v>
      </c>
      <c r="B97" s="40" t="inlineStr">
        <is>
          <t>YEB2986</t>
        </is>
      </c>
      <c r="C97" s="40" t="inlineStr">
        <is>
          <t>DP-XMC-6003</t>
        </is>
      </c>
      <c r="D97" s="41" t="inlineStr">
        <is>
          <t>-</t>
        </is>
      </c>
      <c r="E97" s="40" t="inlineStr">
        <is>
          <t>-</t>
        </is>
      </c>
      <c r="F97" s="40" t="inlineStr">
        <is>
          <t>Requirement Stage</t>
        </is>
      </c>
      <c r="G97" s="40" t="inlineStr">
        <is>
          <t>UNDER PROGRESS</t>
        </is>
      </c>
      <c r="H97" s="39" t="n">
        <v>0</v>
      </c>
      <c r="I97" s="40" t="inlineStr">
        <is>
          <t>-</t>
        </is>
      </c>
      <c r="J97" s="40" t="inlineStr">
        <is>
          <t>-</t>
        </is>
      </c>
      <c r="K97" s="39" t="inlineStr"/>
      <c r="L97" s="42" t="inlineStr">
        <is>
          <t>Not Available</t>
        </is>
      </c>
      <c r="M97" s="40" t="inlineStr"/>
      <c r="N97" s="40" t="inlineStr">
        <is>
          <t>Computing</t>
        </is>
      </c>
    </row>
    <row r="98" ht="14" customHeight="1">
      <c r="A98" s="35" t="n">
        <v>97</v>
      </c>
      <c r="B98" s="36" t="inlineStr">
        <is>
          <t>YEB2854</t>
        </is>
      </c>
      <c r="C98" s="36" t="inlineStr">
        <is>
          <t>IRST V2</t>
        </is>
      </c>
      <c r="D98" s="37" t="inlineStr">
        <is>
          <t>-</t>
        </is>
      </c>
      <c r="E98" s="36" t="inlineStr">
        <is>
          <t>Mohamed Ali</t>
        </is>
      </c>
      <c r="F98" s="36" t="inlineStr">
        <is>
          <t>Requirement Stage</t>
        </is>
      </c>
      <c r="G98" s="36" t="inlineStr">
        <is>
          <t>UNDER PROGRESS</t>
        </is>
      </c>
      <c r="H98" s="35" t="n">
        <v>0</v>
      </c>
      <c r="I98" s="36" t="inlineStr">
        <is>
          <t>-</t>
        </is>
      </c>
      <c r="J98" s="36" t="inlineStr">
        <is>
          <t>-</t>
        </is>
      </c>
      <c r="K98" s="35" t="inlineStr"/>
      <c r="L98" s="42" t="inlineStr">
        <is>
          <t>Not Available</t>
        </is>
      </c>
      <c r="M98" s="36" t="inlineStr"/>
      <c r="N98" s="36" t="inlineStr">
        <is>
          <t>Computing</t>
        </is>
      </c>
    </row>
    <row r="99" ht="14" customHeight="1">
      <c r="A99" s="39" t="n">
        <v>98</v>
      </c>
      <c r="B99" s="40" t="inlineStr">
        <is>
          <t>YEC2768</t>
        </is>
      </c>
      <c r="C99" s="40" t="inlineStr">
        <is>
          <t>-</t>
        </is>
      </c>
      <c r="D99" s="41" t="inlineStr">
        <is>
          <t>-</t>
        </is>
      </c>
      <c r="E99" s="40" t="inlineStr">
        <is>
          <t>-</t>
        </is>
      </c>
      <c r="F99" s="40" t="inlineStr">
        <is>
          <t>Completed</t>
        </is>
      </c>
      <c r="G99" s="40" t="inlineStr">
        <is>
          <t>Completed</t>
        </is>
      </c>
      <c r="H99" s="39" t="n">
        <v>0</v>
      </c>
      <c r="I99" s="40" t="inlineStr">
        <is>
          <t>-</t>
        </is>
      </c>
      <c r="J99" s="40" t="inlineStr">
        <is>
          <t>-</t>
        </is>
      </c>
      <c r="K99" s="39" t="inlineStr"/>
      <c r="L99" s="42" t="inlineStr">
        <is>
          <t>Not Available</t>
        </is>
      </c>
      <c r="M99" s="40" t="inlineStr"/>
      <c r="N99" s="40" t="inlineStr">
        <is>
          <t>Computing</t>
        </is>
      </c>
    </row>
    <row r="100" ht="14" customHeight="1">
      <c r="A100" s="35" t="n">
        <v>99</v>
      </c>
      <c r="B100" s="36" t="inlineStr">
        <is>
          <t>YEB2800</t>
        </is>
      </c>
      <c r="C100" s="36" t="inlineStr">
        <is>
          <t>DP-SPL-4309</t>
        </is>
      </c>
      <c r="D100" s="37" t="inlineStr">
        <is>
          <t>DP-SPL-4309</t>
        </is>
      </c>
      <c r="E100" s="36" t="inlineStr">
        <is>
          <t>-</t>
        </is>
      </c>
      <c r="F100" s="36" t="inlineStr">
        <is>
          <t>Completed</t>
        </is>
      </c>
      <c r="G100" s="36" t="inlineStr">
        <is>
          <t>Completed</t>
        </is>
      </c>
      <c r="H100" s="35" t="n">
        <v>4</v>
      </c>
      <c r="I100" s="36" t="inlineStr">
        <is>
          <t>2025-04-15</t>
        </is>
      </c>
      <c r="J100" s="36" t="inlineStr">
        <is>
          <t>2025-06-05</t>
        </is>
      </c>
      <c r="K100" s="35" t="n">
        <v>51</v>
      </c>
      <c r="L100" s="38" t="inlineStr">
        <is>
          <t>Available</t>
        </is>
      </c>
      <c r="M100" s="36" t="inlineStr"/>
      <c r="N100" s="36" t="inlineStr">
        <is>
          <t>Computing</t>
        </is>
      </c>
    </row>
    <row r="101" ht="14" customHeight="1">
      <c r="A101" s="39" t="n">
        <v>100</v>
      </c>
      <c r="B101" s="40" t="inlineStr">
        <is>
          <t>YEA2722</t>
        </is>
      </c>
      <c r="C101" s="40" t="inlineStr">
        <is>
          <t>DP-ADSB-8009</t>
        </is>
      </c>
      <c r="D101" s="41" t="inlineStr">
        <is>
          <t>CMS_DISPLAY_CLIENT</t>
        </is>
      </c>
      <c r="E101" s="40" t="inlineStr">
        <is>
          <t>Sankardhayalsharma</t>
        </is>
      </c>
      <c r="F101" s="40" t="inlineStr">
        <is>
          <t>Testing Stage</t>
        </is>
      </c>
      <c r="G101" s="40" t="inlineStr">
        <is>
          <t>SITE Support</t>
        </is>
      </c>
      <c r="H101" s="39" t="n">
        <v>22</v>
      </c>
      <c r="I101" s="40" t="inlineStr">
        <is>
          <t>2024-12-26</t>
        </is>
      </c>
      <c r="J101" s="40" t="inlineStr">
        <is>
          <t>2026-02-13</t>
        </is>
      </c>
      <c r="K101" s="39" t="n">
        <v>414</v>
      </c>
      <c r="L101" s="38" t="inlineStr">
        <is>
          <t>Available</t>
        </is>
      </c>
      <c r="M101" s="40" t="inlineStr"/>
      <c r="N101" s="40" t="inlineStr">
        <is>
          <t>RAD</t>
        </is>
      </c>
    </row>
    <row r="102" ht="14" customHeight="1">
      <c r="A102" s="35" t="n">
        <v>101</v>
      </c>
      <c r="B102" s="36" t="inlineStr"/>
      <c r="C102" s="36" t="inlineStr"/>
      <c r="D102" s="37" t="inlineStr">
        <is>
          <t>CMS_DISPLAY_SERVER</t>
        </is>
      </c>
      <c r="E102" s="36" t="inlineStr"/>
      <c r="F102" s="36" t="inlineStr"/>
      <c r="G102" s="36" t="inlineStr"/>
      <c r="H102" s="35" t="n">
        <v>17</v>
      </c>
      <c r="I102" s="36" t="inlineStr">
        <is>
          <t>2024-12-27</t>
        </is>
      </c>
      <c r="J102" s="36" t="inlineStr">
        <is>
          <t>2025-02-12</t>
        </is>
      </c>
      <c r="K102" s="35" t="n">
        <v>47</v>
      </c>
      <c r="L102" s="38" t="inlineStr">
        <is>
          <t>Available</t>
        </is>
      </c>
      <c r="M102" s="36" t="inlineStr"/>
      <c r="N102" s="36" t="inlineStr">
        <is>
          <t>RAD</t>
        </is>
      </c>
    </row>
    <row r="103" ht="14" customHeight="1">
      <c r="A103" s="39" t="n">
        <v>102</v>
      </c>
      <c r="B103" s="40" t="inlineStr"/>
      <c r="C103" s="40" t="inlineStr"/>
      <c r="D103" s="41" t="inlineStr">
        <is>
          <t>CMS_SERVER</t>
        </is>
      </c>
      <c r="E103" s="40" t="inlineStr"/>
      <c r="F103" s="40" t="inlineStr"/>
      <c r="G103" s="40" t="inlineStr"/>
      <c r="H103" s="39" t="n">
        <v>47</v>
      </c>
      <c r="I103" s="40" t="inlineStr">
        <is>
          <t>2024-12-28</t>
        </is>
      </c>
      <c r="J103" s="40" t="inlineStr">
        <is>
          <t>2025-11-07</t>
        </is>
      </c>
      <c r="K103" s="39" t="n">
        <v>314</v>
      </c>
      <c r="L103" s="38" t="inlineStr">
        <is>
          <t>Available</t>
        </is>
      </c>
      <c r="M103" s="40" t="inlineStr"/>
      <c r="N103" s="40" t="inlineStr">
        <is>
          <t>RAD</t>
        </is>
      </c>
    </row>
    <row r="104" ht="14" customHeight="1">
      <c r="A104" s="35" t="n">
        <v>103</v>
      </c>
      <c r="B104" s="36" t="inlineStr"/>
      <c r="C104" s="36" t="inlineStr"/>
      <c r="D104" s="37" t="inlineStr">
        <is>
          <t>DATA_PROCESSOR</t>
        </is>
      </c>
      <c r="E104" s="36" t="inlineStr"/>
      <c r="F104" s="36" t="inlineStr"/>
      <c r="G104" s="36" t="inlineStr"/>
      <c r="H104" s="35" t="n">
        <v>58</v>
      </c>
      <c r="I104" s="36" t="inlineStr">
        <is>
          <t>2024-12-29</t>
        </is>
      </c>
      <c r="J104" s="36" t="inlineStr">
        <is>
          <t>2026-01-25</t>
        </is>
      </c>
      <c r="K104" s="35" t="n">
        <v>392</v>
      </c>
      <c r="L104" s="38" t="inlineStr">
        <is>
          <t>Available</t>
        </is>
      </c>
      <c r="M104" s="36" t="inlineStr"/>
      <c r="N104" s="36" t="inlineStr">
        <is>
          <t>RAD</t>
        </is>
      </c>
    </row>
    <row r="105" ht="14" customHeight="1">
      <c r="A105" s="39" t="n">
        <v>104</v>
      </c>
      <c r="B105" s="40" t="inlineStr"/>
      <c r="C105" s="40" t="inlineStr"/>
      <c r="D105" s="41" t="inlineStr">
        <is>
          <t>SPU_A</t>
        </is>
      </c>
      <c r="E105" s="40" t="inlineStr"/>
      <c r="F105" s="40" t="inlineStr">
        <is>
          <t>Completed</t>
        </is>
      </c>
      <c r="G105" s="40" t="inlineStr">
        <is>
          <t>Completed</t>
        </is>
      </c>
      <c r="H105" s="39" t="n">
        <v>9</v>
      </c>
      <c r="I105" s="40" t="inlineStr">
        <is>
          <t>2024-12-30</t>
        </is>
      </c>
      <c r="J105" s="40" t="inlineStr">
        <is>
          <t>2025-03-24</t>
        </is>
      </c>
      <c r="K105" s="39" t="n">
        <v>84</v>
      </c>
      <c r="L105" s="38" t="inlineStr">
        <is>
          <t>Available</t>
        </is>
      </c>
      <c r="M105" s="40" t="inlineStr"/>
      <c r="N105" s="40" t="inlineStr">
        <is>
          <t>RAD</t>
        </is>
      </c>
    </row>
    <row r="106" ht="14" customHeight="1">
      <c r="A106" s="35" t="n">
        <v>105</v>
      </c>
      <c r="B106" s="36" t="inlineStr"/>
      <c r="C106" s="36" t="inlineStr"/>
      <c r="D106" s="37" t="inlineStr">
        <is>
          <t>SPU_B</t>
        </is>
      </c>
      <c r="E106" s="36" t="inlineStr"/>
      <c r="F106" s="36" t="inlineStr"/>
      <c r="G106" s="36" t="inlineStr"/>
      <c r="H106" s="35" t="n">
        <v>10</v>
      </c>
      <c r="I106" s="36" t="inlineStr">
        <is>
          <t>2024-12-31</t>
        </is>
      </c>
      <c r="J106" s="36" t="inlineStr">
        <is>
          <t>2025-02-05</t>
        </is>
      </c>
      <c r="K106" s="35" t="n">
        <v>36</v>
      </c>
      <c r="L106" s="38" t="inlineStr">
        <is>
          <t>Available</t>
        </is>
      </c>
      <c r="M106" s="36" t="inlineStr"/>
      <c r="N106" s="36" t="inlineStr">
        <is>
          <t>RAD</t>
        </is>
      </c>
    </row>
    <row r="107" ht="14" customHeight="1">
      <c r="A107" s="39" t="n">
        <v>106</v>
      </c>
      <c r="B107" s="40" t="inlineStr">
        <is>
          <t>YIA2819</t>
        </is>
      </c>
      <c r="C107" s="40" t="inlineStr">
        <is>
          <t>DP-IFF-8023</t>
        </is>
      </c>
      <c r="D107" s="41" t="inlineStr">
        <is>
          <t>DP-IFF-8023-INT-GUI</t>
        </is>
      </c>
      <c r="E107" s="40" t="inlineStr"/>
      <c r="F107" s="40" t="inlineStr">
        <is>
          <t>Testing Stage</t>
        </is>
      </c>
      <c r="G107" s="40" t="inlineStr">
        <is>
          <t>QC testing</t>
        </is>
      </c>
      <c r="H107" s="39" t="n">
        <v>71</v>
      </c>
      <c r="I107" s="40" t="inlineStr">
        <is>
          <t>2025-01-01</t>
        </is>
      </c>
      <c r="J107" s="40" t="inlineStr">
        <is>
          <t>2026-02-12</t>
        </is>
      </c>
      <c r="K107" s="39" t="n">
        <v>407</v>
      </c>
      <c r="L107" s="38" t="inlineStr">
        <is>
          <t>Available</t>
        </is>
      </c>
      <c r="M107" s="40" t="inlineStr"/>
      <c r="N107" s="40" t="inlineStr">
        <is>
          <t>RAD</t>
        </is>
      </c>
    </row>
    <row r="108" ht="14" customHeight="1">
      <c r="A108" s="35" t="n">
        <v>107</v>
      </c>
      <c r="B108" s="36" t="inlineStr"/>
      <c r="C108" s="36" t="inlineStr"/>
      <c r="D108" s="37" t="inlineStr">
        <is>
          <t>DP-IFF-8023-TXP-GUI</t>
        </is>
      </c>
      <c r="E108" s="36" t="inlineStr"/>
      <c r="F108" s="36" t="inlineStr">
        <is>
          <t>Testing Completed</t>
        </is>
      </c>
      <c r="G108" s="36" t="inlineStr"/>
      <c r="H108" s="35" t="n">
        <v>42</v>
      </c>
      <c r="I108" s="36" t="inlineStr">
        <is>
          <t>2025-01-02</t>
        </is>
      </c>
      <c r="J108" s="36" t="inlineStr">
        <is>
          <t>2026-01-20</t>
        </is>
      </c>
      <c r="K108" s="35" t="n">
        <v>383</v>
      </c>
      <c r="L108" s="38" t="inlineStr">
        <is>
          <t>Available</t>
        </is>
      </c>
      <c r="M108" s="36" t="inlineStr"/>
      <c r="N108" s="36" t="inlineStr">
        <is>
          <t>RAD</t>
        </is>
      </c>
    </row>
    <row r="109" ht="14" customHeight="1">
      <c r="A109" s="39" t="n">
        <v>108</v>
      </c>
      <c r="B109" s="40" t="inlineStr"/>
      <c r="C109" s="40" t="inlineStr"/>
      <c r="D109" s="41" t="inlineStr">
        <is>
          <t>DP-IFF-8023_APP</t>
        </is>
      </c>
      <c r="E109" s="40" t="inlineStr"/>
      <c r="F109" s="40" t="inlineStr">
        <is>
          <t>Testing Stage</t>
        </is>
      </c>
      <c r="G109" s="40" t="inlineStr"/>
      <c r="H109" s="39" t="n">
        <v>113</v>
      </c>
      <c r="I109" s="40" t="inlineStr">
        <is>
          <t>2025-01-03</t>
        </is>
      </c>
      <c r="J109" s="40" t="inlineStr">
        <is>
          <t>2026-02-11</t>
        </is>
      </c>
      <c r="K109" s="39" t="n">
        <v>404</v>
      </c>
      <c r="L109" s="38" t="inlineStr">
        <is>
          <t>Available</t>
        </is>
      </c>
      <c r="M109" s="40" t="inlineStr"/>
      <c r="N109" s="40" t="inlineStr">
        <is>
          <t>RAD</t>
        </is>
      </c>
    </row>
    <row r="110" ht="14" customHeight="1">
      <c r="A110" s="35" t="n">
        <v>109</v>
      </c>
      <c r="B110" s="36" t="inlineStr">
        <is>
          <t>YIA2749</t>
        </is>
      </c>
      <c r="C110" s="36" t="inlineStr">
        <is>
          <t>DP-RDR-7456</t>
        </is>
      </c>
      <c r="D110" s="37" t="inlineStr">
        <is>
          <t>Manpad</t>
        </is>
      </c>
      <c r="E110" s="36" t="inlineStr"/>
      <c r="F110" s="36" t="inlineStr">
        <is>
          <t>Completed</t>
        </is>
      </c>
      <c r="G110" s="36" t="inlineStr">
        <is>
          <t>Completed</t>
        </is>
      </c>
      <c r="H110" s="35" t="n">
        <v>0</v>
      </c>
      <c r="I110" s="36" t="inlineStr"/>
      <c r="J110" s="36" t="inlineStr"/>
      <c r="K110" s="35" t="n">
        <v>0</v>
      </c>
      <c r="L110" s="42" t="inlineStr">
        <is>
          <t>Not Available</t>
        </is>
      </c>
      <c r="M110" s="36" t="inlineStr"/>
      <c r="N110" s="36" t="inlineStr">
        <is>
          <t>RAD</t>
        </is>
      </c>
    </row>
    <row r="111" ht="14" customHeight="1">
      <c r="A111" s="39" t="n">
        <v>110</v>
      </c>
      <c r="B111" s="40" t="inlineStr"/>
      <c r="C111" s="40" t="inlineStr">
        <is>
          <t>DP-RDR-7465</t>
        </is>
      </c>
      <c r="D111" s="41" t="inlineStr">
        <is>
          <t>SEARCH_ATP</t>
        </is>
      </c>
      <c r="E111" s="40" t="inlineStr">
        <is>
          <t>Parthiban</t>
        </is>
      </c>
      <c r="F111" s="40" t="inlineStr">
        <is>
          <t>Completed</t>
        </is>
      </c>
      <c r="G111" s="40" t="inlineStr">
        <is>
          <t>Completed</t>
        </is>
      </c>
      <c r="H111" s="39" t="n">
        <v>7</v>
      </c>
      <c r="I111" s="40" t="inlineStr">
        <is>
          <t>2024-12-26</t>
        </is>
      </c>
      <c r="J111" s="40" t="inlineStr">
        <is>
          <t>2025-03-28</t>
        </is>
      </c>
      <c r="K111" s="39" t="n">
        <v>92</v>
      </c>
      <c r="L111" s="38" t="inlineStr">
        <is>
          <t>Available</t>
        </is>
      </c>
      <c r="M111" s="40" t="inlineStr"/>
      <c r="N111" s="40" t="inlineStr">
        <is>
          <t>RAD</t>
        </is>
      </c>
    </row>
    <row r="112" ht="14" customHeight="1">
      <c r="A112" s="35" t="n">
        <v>111</v>
      </c>
      <c r="B112" s="36" t="inlineStr"/>
      <c r="C112" s="36" t="inlineStr">
        <is>
          <t>DP-RDR-8227</t>
        </is>
      </c>
      <c r="D112" s="37" t="inlineStr">
        <is>
          <t>TRACK_ATP</t>
        </is>
      </c>
      <c r="E112" s="36" t="inlineStr"/>
      <c r="F112" s="36" t="inlineStr">
        <is>
          <t>Completed</t>
        </is>
      </c>
      <c r="G112" s="36" t="inlineStr">
        <is>
          <t>Completed</t>
        </is>
      </c>
      <c r="H112" s="35" t="n">
        <v>1</v>
      </c>
      <c r="I112" s="36" t="inlineStr">
        <is>
          <t>2024-12-26</t>
        </is>
      </c>
      <c r="J112" s="36" t="inlineStr">
        <is>
          <t>2024-12-26</t>
        </is>
      </c>
      <c r="K112" s="35" t="n">
        <v>0</v>
      </c>
      <c r="L112" s="38" t="inlineStr">
        <is>
          <t>Available</t>
        </is>
      </c>
      <c r="M112" s="36" t="inlineStr"/>
      <c r="N112" s="36" t="inlineStr">
        <is>
          <t>RAD</t>
        </is>
      </c>
    </row>
    <row r="113" ht="14" customHeight="1">
      <c r="A113" s="39" t="n">
        <v>112</v>
      </c>
      <c r="B113" s="40" t="inlineStr"/>
      <c r="C113" s="40" t="inlineStr"/>
      <c r="D113" s="41" t="inlineStr">
        <is>
          <t>EOS_VPA</t>
        </is>
      </c>
      <c r="E113" s="40" t="inlineStr"/>
      <c r="F113" s="40" t="inlineStr">
        <is>
          <t>Testing Stage</t>
        </is>
      </c>
      <c r="G113" s="40" t="inlineStr">
        <is>
          <t>Hold</t>
        </is>
      </c>
      <c r="H113" s="39" t="n">
        <v>21</v>
      </c>
      <c r="I113" s="40" t="inlineStr">
        <is>
          <t>2024-12-26</t>
        </is>
      </c>
      <c r="J113" s="40" t="inlineStr">
        <is>
          <t>2025-11-20</t>
        </is>
      </c>
      <c r="K113" s="39" t="n">
        <v>329</v>
      </c>
      <c r="L113" s="38" t="inlineStr">
        <is>
          <t>Available</t>
        </is>
      </c>
      <c r="M113" s="40" t="inlineStr"/>
      <c r="N113" s="40" t="inlineStr">
        <is>
          <t>RAD</t>
        </is>
      </c>
    </row>
    <row r="114" ht="14" customHeight="1">
      <c r="A114" s="35" t="n">
        <v>113</v>
      </c>
      <c r="B114" s="36" t="inlineStr"/>
      <c r="C114" s="36" t="inlineStr"/>
      <c r="D114" s="37" t="inlineStr">
        <is>
          <t>FCCA</t>
        </is>
      </c>
      <c r="E114" s="36" t="inlineStr"/>
      <c r="F114" s="36" t="inlineStr">
        <is>
          <t>Testing Stage</t>
        </is>
      </c>
      <c r="G114" s="36" t="inlineStr">
        <is>
          <t>Hold</t>
        </is>
      </c>
      <c r="H114" s="35" t="n">
        <v>29</v>
      </c>
      <c r="I114" s="36" t="inlineStr">
        <is>
          <t>2024-12-26</t>
        </is>
      </c>
      <c r="J114" s="36" t="inlineStr">
        <is>
          <t>2026-02-12</t>
        </is>
      </c>
      <c r="K114" s="35" t="n">
        <v>413</v>
      </c>
      <c r="L114" s="38" t="inlineStr">
        <is>
          <t>Available</t>
        </is>
      </c>
      <c r="M114" s="36" t="inlineStr"/>
      <c r="N114" s="36" t="inlineStr">
        <is>
          <t>RAD</t>
        </is>
      </c>
    </row>
    <row r="115" ht="14" customHeight="1">
      <c r="A115" s="39" t="n">
        <v>114</v>
      </c>
      <c r="B115" s="40" t="inlineStr"/>
      <c r="C115" s="40" t="inlineStr"/>
      <c r="D115" s="41" t="inlineStr">
        <is>
          <t>FCD</t>
        </is>
      </c>
      <c r="E115" s="40" t="inlineStr"/>
      <c r="F115" s="40" t="inlineStr">
        <is>
          <t>Testing Stage</t>
        </is>
      </c>
      <c r="G115" s="40" t="inlineStr">
        <is>
          <t>Hold</t>
        </is>
      </c>
      <c r="H115" s="39" t="n">
        <v>27</v>
      </c>
      <c r="I115" s="40" t="inlineStr">
        <is>
          <t>2024-12-26</t>
        </is>
      </c>
      <c r="J115" s="40" t="inlineStr">
        <is>
          <t>2026-01-31</t>
        </is>
      </c>
      <c r="K115" s="39" t="n">
        <v>401</v>
      </c>
      <c r="L115" s="38" t="inlineStr">
        <is>
          <t>Available</t>
        </is>
      </c>
      <c r="M115" s="40" t="inlineStr"/>
      <c r="N115" s="40" t="inlineStr">
        <is>
          <t>RAD</t>
        </is>
      </c>
    </row>
    <row r="116" ht="14" customHeight="1">
      <c r="A116" s="35" t="n">
        <v>115</v>
      </c>
      <c r="B116" s="36" t="inlineStr"/>
      <c r="C116" s="36" t="inlineStr"/>
      <c r="D116" s="37" t="inlineStr">
        <is>
          <t>FCD_RCT</t>
        </is>
      </c>
      <c r="E116" s="36" t="inlineStr"/>
      <c r="F116" s="36" t="inlineStr">
        <is>
          <t>Testing Stage</t>
        </is>
      </c>
      <c r="G116" s="36" t="inlineStr">
        <is>
          <t>Hold</t>
        </is>
      </c>
      <c r="H116" s="35" t="n">
        <v>2</v>
      </c>
      <c r="I116" s="36" t="inlineStr">
        <is>
          <t>2024-12-26</t>
        </is>
      </c>
      <c r="J116" s="36" t="inlineStr">
        <is>
          <t>2025-01-07</t>
        </is>
      </c>
      <c r="K116" s="35" t="n">
        <v>12</v>
      </c>
      <c r="L116" s="38" t="inlineStr">
        <is>
          <t>Available</t>
        </is>
      </c>
      <c r="M116" s="36" t="inlineStr"/>
      <c r="N116" s="36" t="inlineStr">
        <is>
          <t>RAD</t>
        </is>
      </c>
    </row>
    <row r="117" ht="14" customHeight="1">
      <c r="A117" s="39" t="n">
        <v>116</v>
      </c>
      <c r="B117" s="40" t="inlineStr"/>
      <c r="C117" s="40" t="inlineStr"/>
      <c r="D117" s="41" t="inlineStr">
        <is>
          <t>GCD</t>
        </is>
      </c>
      <c r="E117" s="40" t="inlineStr"/>
      <c r="F117" s="40" t="inlineStr">
        <is>
          <t>Testing Stage</t>
        </is>
      </c>
      <c r="G117" s="40" t="inlineStr">
        <is>
          <t>Hold</t>
        </is>
      </c>
      <c r="H117" s="39" t="n">
        <v>19</v>
      </c>
      <c r="I117" s="40" t="inlineStr">
        <is>
          <t>2024-12-26</t>
        </is>
      </c>
      <c r="J117" s="40" t="inlineStr">
        <is>
          <t>2025-11-11</t>
        </is>
      </c>
      <c r="K117" s="39" t="n">
        <v>320</v>
      </c>
      <c r="L117" s="38" t="inlineStr">
        <is>
          <t>Available</t>
        </is>
      </c>
      <c r="M117" s="40" t="inlineStr"/>
      <c r="N117" s="40" t="inlineStr">
        <is>
          <t>RAD</t>
        </is>
      </c>
    </row>
    <row r="118" ht="14" customHeight="1">
      <c r="A118" s="35" t="n">
        <v>117</v>
      </c>
      <c r="B118" s="36" t="inlineStr"/>
      <c r="C118" s="36" t="inlineStr"/>
      <c r="D118" s="37" t="inlineStr">
        <is>
          <t>GCD_RCT</t>
        </is>
      </c>
      <c r="E118" s="36" t="inlineStr"/>
      <c r="F118" s="36" t="inlineStr">
        <is>
          <t>Testing Stage</t>
        </is>
      </c>
      <c r="G118" s="36" t="inlineStr">
        <is>
          <t>Hold</t>
        </is>
      </c>
      <c r="H118" s="35" t="n">
        <v>10</v>
      </c>
      <c r="I118" s="36" t="inlineStr">
        <is>
          <t>2024-12-26</t>
        </is>
      </c>
      <c r="J118" s="36" t="inlineStr">
        <is>
          <t>2025-11-11</t>
        </is>
      </c>
      <c r="K118" s="35" t="n">
        <v>320</v>
      </c>
      <c r="L118" s="38" t="inlineStr">
        <is>
          <t>Available</t>
        </is>
      </c>
      <c r="M118" s="36" t="inlineStr"/>
      <c r="N118" s="36" t="inlineStr">
        <is>
          <t>RAD</t>
        </is>
      </c>
    </row>
    <row r="119" ht="14" customHeight="1">
      <c r="A119" s="39" t="n">
        <v>118</v>
      </c>
      <c r="B119" s="40" t="inlineStr"/>
      <c r="C119" s="40" t="inlineStr"/>
      <c r="D119" s="41" t="inlineStr">
        <is>
          <t>SIMULATOR</t>
        </is>
      </c>
      <c r="E119" s="40" t="inlineStr"/>
      <c r="F119" s="40" t="inlineStr">
        <is>
          <t>Testing Stage</t>
        </is>
      </c>
      <c r="G119" s="40" t="inlineStr">
        <is>
          <t>Hold</t>
        </is>
      </c>
      <c r="H119" s="39" t="n">
        <v>17</v>
      </c>
      <c r="I119" s="40" t="inlineStr">
        <is>
          <t>2024-12-26</t>
        </is>
      </c>
      <c r="J119" s="40" t="inlineStr">
        <is>
          <t>2026-02-06</t>
        </is>
      </c>
      <c r="K119" s="39" t="n">
        <v>407</v>
      </c>
      <c r="L119" s="38" t="inlineStr">
        <is>
          <t>Available</t>
        </is>
      </c>
      <c r="M119" s="40" t="inlineStr"/>
      <c r="N119" s="40" t="inlineStr">
        <is>
          <t>RAD</t>
        </is>
      </c>
    </row>
    <row r="120" ht="14" customHeight="1">
      <c r="A120" s="35" t="n">
        <v>119</v>
      </c>
      <c r="B120" s="36" t="inlineStr"/>
      <c r="C120" s="36" t="inlineStr"/>
      <c r="D120" s="37" t="inlineStr">
        <is>
          <t>SRCA</t>
        </is>
      </c>
      <c r="E120" s="36" t="inlineStr"/>
      <c r="F120" s="36" t="inlineStr">
        <is>
          <t>Testing Stage</t>
        </is>
      </c>
      <c r="G120" s="36" t="inlineStr">
        <is>
          <t>Hold</t>
        </is>
      </c>
      <c r="H120" s="35" t="n">
        <v>8</v>
      </c>
      <c r="I120" s="36" t="inlineStr">
        <is>
          <t>2025-11-11</t>
        </is>
      </c>
      <c r="J120" s="36" t="inlineStr">
        <is>
          <t>2026-02-11</t>
        </is>
      </c>
      <c r="K120" s="35" t="n">
        <v>92</v>
      </c>
      <c r="L120" s="38" t="inlineStr">
        <is>
          <t>Available</t>
        </is>
      </c>
      <c r="M120" s="36" t="inlineStr"/>
      <c r="N120" s="36" t="inlineStr">
        <is>
          <t>RAD</t>
        </is>
      </c>
    </row>
    <row r="121" ht="14" customHeight="1">
      <c r="A121" s="39" t="n">
        <v>120</v>
      </c>
      <c r="B121" s="40" t="inlineStr"/>
      <c r="C121" s="40" t="inlineStr"/>
      <c r="D121" s="41" t="inlineStr">
        <is>
          <t>SRSP</t>
        </is>
      </c>
      <c r="E121" s="40" t="inlineStr"/>
      <c r="F121" s="40" t="inlineStr">
        <is>
          <t>Testing Stage</t>
        </is>
      </c>
      <c r="G121" s="40" t="inlineStr">
        <is>
          <t>Hold</t>
        </is>
      </c>
      <c r="H121" s="39" t="n">
        <v>11</v>
      </c>
      <c r="I121" s="40" t="inlineStr">
        <is>
          <t>2025-08-06</t>
        </is>
      </c>
      <c r="J121" s="40" t="inlineStr">
        <is>
          <t>2025-11-11</t>
        </is>
      </c>
      <c r="K121" s="39" t="n">
        <v>97</v>
      </c>
      <c r="L121" s="38" t="inlineStr">
        <is>
          <t>Available</t>
        </is>
      </c>
      <c r="M121" s="40" t="inlineStr"/>
      <c r="N121" s="40" t="inlineStr">
        <is>
          <t>RAD</t>
        </is>
      </c>
    </row>
    <row r="122" ht="14" customHeight="1">
      <c r="A122" s="35" t="n">
        <v>121</v>
      </c>
      <c r="B122" s="36" t="inlineStr"/>
      <c r="C122" s="36" t="inlineStr"/>
      <c r="D122" s="37" t="inlineStr">
        <is>
          <t>TRCA</t>
        </is>
      </c>
      <c r="E122" s="36" t="inlineStr"/>
      <c r="F122" s="36" t="inlineStr">
        <is>
          <t>Testing Stage</t>
        </is>
      </c>
      <c r="G122" s="36" t="inlineStr">
        <is>
          <t>Hold</t>
        </is>
      </c>
      <c r="H122" s="35" t="n">
        <v>62</v>
      </c>
      <c r="I122" s="36" t="inlineStr">
        <is>
          <t>2024-12-26</t>
        </is>
      </c>
      <c r="J122" s="36" t="inlineStr">
        <is>
          <t>2025-12-19</t>
        </is>
      </c>
      <c r="K122" s="35" t="n">
        <v>358</v>
      </c>
      <c r="L122" s="38" t="inlineStr">
        <is>
          <t>Available</t>
        </is>
      </c>
      <c r="M122" s="36" t="inlineStr"/>
      <c r="N122" s="36" t="inlineStr">
        <is>
          <t>RAD</t>
        </is>
      </c>
    </row>
    <row r="123" ht="14" customHeight="1">
      <c r="A123" s="39" t="n">
        <v>122</v>
      </c>
      <c r="B123" s="40" t="inlineStr">
        <is>
          <t>sib2484</t>
        </is>
      </c>
      <c r="C123" s="40" t="inlineStr">
        <is>
          <t>DP-SWR-8002</t>
        </is>
      </c>
      <c r="D123" s="41" t="inlineStr">
        <is>
          <t>RDPS_WebPhp</t>
        </is>
      </c>
      <c r="E123" s="40" t="inlineStr">
        <is>
          <t>Kannan &amp; valeti.sanjay</t>
        </is>
      </c>
      <c r="F123" s="40" t="inlineStr">
        <is>
          <t>Implementation on going</t>
        </is>
      </c>
      <c r="G123" s="40" t="inlineStr">
        <is>
          <t>Implementation</t>
        </is>
      </c>
      <c r="H123" s="39" t="n">
        <v>20</v>
      </c>
      <c r="I123" s="40" t="inlineStr">
        <is>
          <t>2024-12-30</t>
        </is>
      </c>
      <c r="J123" s="40" t="inlineStr">
        <is>
          <t>2025-06-16</t>
        </is>
      </c>
      <c r="K123" s="39" t="n">
        <v>168</v>
      </c>
      <c r="L123" s="38" t="inlineStr">
        <is>
          <t>Available</t>
        </is>
      </c>
      <c r="M123" s="40" t="inlineStr"/>
      <c r="N123" s="40" t="inlineStr">
        <is>
          <t>RAD</t>
        </is>
      </c>
    </row>
    <row r="124" ht="14" customHeight="1">
      <c r="A124" s="35" t="n">
        <v>123</v>
      </c>
      <c r="B124" s="36" t="inlineStr"/>
      <c r="C124" s="36" t="inlineStr"/>
      <c r="D124" s="37" t="inlineStr">
        <is>
          <t>ClientXml</t>
        </is>
      </c>
      <c r="E124" s="36" t="inlineStr"/>
      <c r="F124" s="36" t="inlineStr"/>
      <c r="G124" s="36" t="inlineStr"/>
      <c r="H124" s="35" t="n">
        <v>7</v>
      </c>
      <c r="I124" s="36" t="inlineStr">
        <is>
          <t>2026-02-11</t>
        </is>
      </c>
      <c r="J124" s="36" t="inlineStr">
        <is>
          <t>2026-02-12</t>
        </is>
      </c>
      <c r="K124" s="35" t="n">
        <v>1</v>
      </c>
      <c r="L124" s="38" t="inlineStr">
        <is>
          <t>Available</t>
        </is>
      </c>
      <c r="M124" s="36" t="inlineStr"/>
      <c r="N124" s="36" t="inlineStr">
        <is>
          <t>RAD</t>
        </is>
      </c>
    </row>
    <row r="125" ht="14" customHeight="1">
      <c r="A125" s="39" t="n">
        <v>124</v>
      </c>
      <c r="B125" s="40" t="inlineStr"/>
      <c r="C125" s="40" t="inlineStr"/>
      <c r="D125" s="41" t="inlineStr">
        <is>
          <t>Server</t>
        </is>
      </c>
      <c r="E125" s="40" t="inlineStr"/>
      <c r="F125" s="40" t="inlineStr"/>
      <c r="G125" s="40" t="inlineStr"/>
      <c r="H125" s="39" t="n">
        <v>8</v>
      </c>
      <c r="I125" s="40" t="inlineStr">
        <is>
          <t>2026-02-11</t>
        </is>
      </c>
      <c r="J125" s="40" t="inlineStr">
        <is>
          <t>2026-02-11</t>
        </is>
      </c>
      <c r="K125" s="39" t="n">
        <v>0</v>
      </c>
      <c r="L125" s="38" t="inlineStr">
        <is>
          <t>Available</t>
        </is>
      </c>
      <c r="M125" s="40" t="inlineStr"/>
      <c r="N125" s="40" t="inlineStr">
        <is>
          <t>RAD</t>
        </is>
      </c>
    </row>
    <row r="126" ht="14" customHeight="1">
      <c r="A126" s="35" t="n">
        <v>125</v>
      </c>
      <c r="B126" s="36" t="inlineStr"/>
      <c r="C126" s="36" t="inlineStr"/>
      <c r="D126" s="37" t="inlineStr">
        <is>
          <t>CLIENT</t>
        </is>
      </c>
      <c r="E126" s="36" t="inlineStr"/>
      <c r="F126" s="36" t="inlineStr"/>
      <c r="G126" s="36" t="inlineStr"/>
      <c r="H126" s="35" t="n">
        <v>48</v>
      </c>
      <c r="I126" s="36" t="inlineStr">
        <is>
          <t>2024-12-30</t>
        </is>
      </c>
      <c r="J126" s="36" t="inlineStr">
        <is>
          <t>2025-09-29</t>
        </is>
      </c>
      <c r="K126" s="35" t="n">
        <v>273</v>
      </c>
      <c r="L126" s="38" t="inlineStr">
        <is>
          <t>Available</t>
        </is>
      </c>
      <c r="M126" s="36" t="inlineStr"/>
      <c r="N126" s="36" t="inlineStr">
        <is>
          <t>RAD</t>
        </is>
      </c>
    </row>
    <row r="127" ht="14" customHeight="1">
      <c r="A127" s="39" t="n">
        <v>126</v>
      </c>
      <c r="B127" s="40" t="inlineStr"/>
      <c r="C127" s="40" t="inlineStr"/>
      <c r="D127" s="41" t="inlineStr">
        <is>
          <t>SERVER</t>
        </is>
      </c>
      <c r="E127" s="40" t="inlineStr"/>
      <c r="F127" s="40" t="inlineStr"/>
      <c r="G127" s="40" t="inlineStr"/>
      <c r="H127" s="39" t="n">
        <v>12</v>
      </c>
      <c r="I127" s="40" t="inlineStr">
        <is>
          <t>2024-12-30</t>
        </is>
      </c>
      <c r="J127" s="40" t="inlineStr">
        <is>
          <t>2025-02-22</t>
        </is>
      </c>
      <c r="K127" s="39" t="n">
        <v>54</v>
      </c>
      <c r="L127" s="38" t="inlineStr">
        <is>
          <t>Available</t>
        </is>
      </c>
      <c r="M127" s="40" t="inlineStr"/>
      <c r="N127" s="40" t="inlineStr">
        <is>
          <t>RAD</t>
        </is>
      </c>
    </row>
    <row r="128" ht="14" customHeight="1">
      <c r="A128" s="35" t="n">
        <v>127</v>
      </c>
      <c r="B128" s="36" t="inlineStr"/>
      <c r="C128" s="36" t="inlineStr"/>
      <c r="D128" s="37" t="inlineStr">
        <is>
          <t>AWPD</t>
        </is>
      </c>
      <c r="E128" s="36" t="inlineStr"/>
      <c r="F128" s="36" t="inlineStr"/>
      <c r="G128" s="36" t="inlineStr"/>
      <c r="H128" s="35" t="n">
        <v>4</v>
      </c>
      <c r="I128" s="36" t="inlineStr">
        <is>
          <t>2026-02-11</t>
        </is>
      </c>
      <c r="J128" s="36" t="inlineStr">
        <is>
          <t>2026-02-11</t>
        </is>
      </c>
      <c r="K128" s="35" t="n">
        <v>0</v>
      </c>
      <c r="L128" s="38" t="inlineStr">
        <is>
          <t>Available</t>
        </is>
      </c>
      <c r="M128" s="36" t="inlineStr"/>
      <c r="N128" s="36" t="inlineStr">
        <is>
          <t>RAD</t>
        </is>
      </c>
    </row>
    <row r="129" ht="14" customHeight="1">
      <c r="A129" s="39" t="n">
        <v>128</v>
      </c>
      <c r="B129" s="40" t="inlineStr"/>
      <c r="C129" s="40" t="inlineStr"/>
      <c r="D129" s="41" t="inlineStr">
        <is>
          <t>HCA</t>
        </is>
      </c>
      <c r="E129" s="40" t="inlineStr"/>
      <c r="F129" s="40" t="inlineStr"/>
      <c r="G129" s="40" t="inlineStr"/>
      <c r="H129" s="39" t="n">
        <v>4</v>
      </c>
      <c r="I129" s="40" t="inlineStr">
        <is>
          <t>2025-11-12</t>
        </is>
      </c>
      <c r="J129" s="40" t="inlineStr">
        <is>
          <t>2026-02-11</t>
        </is>
      </c>
      <c r="K129" s="39" t="n">
        <v>91</v>
      </c>
      <c r="L129" s="38" t="inlineStr">
        <is>
          <t>Available</t>
        </is>
      </c>
      <c r="M129" s="40" t="inlineStr"/>
      <c r="N129" s="40" t="inlineStr">
        <is>
          <t>RAD</t>
        </is>
      </c>
    </row>
    <row r="130" ht="14" customHeight="1">
      <c r="A130" s="35" t="n">
        <v>129</v>
      </c>
      <c r="B130" s="36" t="inlineStr"/>
      <c r="C130" s="36" t="inlineStr"/>
      <c r="D130" s="37" t="inlineStr">
        <is>
          <t>UWT</t>
        </is>
      </c>
      <c r="E130" s="36" t="inlineStr"/>
      <c r="F130" s="36" t="inlineStr"/>
      <c r="G130" s="36" t="inlineStr"/>
      <c r="H130" s="35" t="n">
        <v>4</v>
      </c>
      <c r="I130" s="36" t="inlineStr">
        <is>
          <t>2026-02-11</t>
        </is>
      </c>
      <c r="J130" s="36" t="inlineStr">
        <is>
          <t>2026-02-11</t>
        </is>
      </c>
      <c r="K130" s="35" t="n">
        <v>0</v>
      </c>
      <c r="L130" s="38" t="inlineStr">
        <is>
          <t>Available</t>
        </is>
      </c>
      <c r="M130" s="36" t="inlineStr"/>
      <c r="N130" s="36" t="inlineStr">
        <is>
          <t>RAD</t>
        </is>
      </c>
    </row>
    <row r="131" ht="14" customHeight="1">
      <c r="A131" s="39" t="n">
        <v>130</v>
      </c>
      <c r="B131" s="40" t="inlineStr"/>
      <c r="C131" s="40" t="inlineStr"/>
      <c r="D131" s="41" t="inlineStr">
        <is>
          <t>VAD</t>
        </is>
      </c>
      <c r="E131" s="40" t="inlineStr"/>
      <c r="F131" s="40" t="inlineStr"/>
      <c r="G131" s="40" t="inlineStr"/>
      <c r="H131" s="39" t="n">
        <v>4</v>
      </c>
      <c r="I131" s="40" t="inlineStr">
        <is>
          <t>2026-02-11</t>
        </is>
      </c>
      <c r="J131" s="40" t="inlineStr">
        <is>
          <t>2026-02-11</t>
        </is>
      </c>
      <c r="K131" s="39" t="n">
        <v>0</v>
      </c>
      <c r="L131" s="38" t="inlineStr">
        <is>
          <t>Available</t>
        </is>
      </c>
      <c r="M131" s="40" t="inlineStr"/>
      <c r="N131" s="40" t="inlineStr">
        <is>
          <t>RAD</t>
        </is>
      </c>
    </row>
    <row r="132" ht="14" customHeight="1">
      <c r="A132" s="35" t="n">
        <v>131</v>
      </c>
      <c r="B132" s="36" t="inlineStr"/>
      <c r="C132" s="36" t="inlineStr"/>
      <c r="D132" s="37" t="inlineStr">
        <is>
          <t>VVP</t>
        </is>
      </c>
      <c r="E132" s="36" t="inlineStr"/>
      <c r="F132" s="36" t="inlineStr"/>
      <c r="G132" s="36" t="inlineStr"/>
      <c r="H132" s="35" t="n">
        <v>4</v>
      </c>
      <c r="I132" s="36" t="inlineStr">
        <is>
          <t>2026-02-11</t>
        </is>
      </c>
      <c r="J132" s="36" t="inlineStr">
        <is>
          <t>2026-02-11</t>
        </is>
      </c>
      <c r="K132" s="35" t="n">
        <v>0</v>
      </c>
      <c r="L132" s="38" t="inlineStr">
        <is>
          <t>Available</t>
        </is>
      </c>
      <c r="M132" s="36" t="inlineStr"/>
      <c r="N132" s="36" t="inlineStr">
        <is>
          <t>RAD</t>
        </is>
      </c>
    </row>
    <row r="133" ht="14" customHeight="1">
      <c r="A133" s="39" t="n">
        <v>132</v>
      </c>
      <c r="B133" s="40" t="inlineStr"/>
      <c r="C133" s="40" t="inlineStr"/>
      <c r="D133" s="41" t="inlineStr">
        <is>
          <t>PAC</t>
        </is>
      </c>
      <c r="E133" s="40" t="inlineStr"/>
      <c r="F133" s="40" t="inlineStr"/>
      <c r="G133" s="40" t="inlineStr"/>
      <c r="H133" s="39" t="n">
        <v>4</v>
      </c>
      <c r="I133" s="40" t="inlineStr">
        <is>
          <t>2026-02-11</t>
        </is>
      </c>
      <c r="J133" s="40" t="inlineStr">
        <is>
          <t>2026-02-11</t>
        </is>
      </c>
      <c r="K133" s="39" t="n">
        <v>0</v>
      </c>
      <c r="L133" s="38" t="inlineStr">
        <is>
          <t>Available</t>
        </is>
      </c>
      <c r="M133" s="40" t="inlineStr"/>
      <c r="N133" s="40" t="inlineStr">
        <is>
          <t>RAD</t>
        </is>
      </c>
    </row>
    <row r="134" ht="14" customHeight="1">
      <c r="A134" s="35" t="n">
        <v>133</v>
      </c>
      <c r="B134" s="36" t="inlineStr"/>
      <c r="C134" s="36" t="inlineStr"/>
      <c r="D134" s="37" t="inlineStr">
        <is>
          <t>SRI</t>
        </is>
      </c>
      <c r="E134" s="36" t="inlineStr"/>
      <c r="F134" s="36" t="inlineStr"/>
      <c r="G134" s="36" t="inlineStr"/>
      <c r="H134" s="35" t="n">
        <v>4</v>
      </c>
      <c r="I134" s="36" t="inlineStr">
        <is>
          <t>2026-02-11</t>
        </is>
      </c>
      <c r="J134" s="36" t="inlineStr">
        <is>
          <t>2026-02-11</t>
        </is>
      </c>
      <c r="K134" s="35" t="n">
        <v>0</v>
      </c>
      <c r="L134" s="38" t="inlineStr">
        <is>
          <t>Available</t>
        </is>
      </c>
      <c r="M134" s="36" t="inlineStr"/>
      <c r="N134" s="36" t="inlineStr">
        <is>
          <t>RAD</t>
        </is>
      </c>
    </row>
    <row r="135" ht="14" customHeight="1">
      <c r="A135" s="39" t="n">
        <v>134</v>
      </c>
      <c r="B135" s="40" t="inlineStr"/>
      <c r="C135" s="40" t="inlineStr"/>
      <c r="D135" s="41" t="inlineStr">
        <is>
          <t>VIL</t>
        </is>
      </c>
      <c r="E135" s="40" t="inlineStr"/>
      <c r="F135" s="40" t="inlineStr"/>
      <c r="G135" s="40" t="inlineStr"/>
      <c r="H135" s="39" t="n">
        <v>4</v>
      </c>
      <c r="I135" s="40" t="inlineStr">
        <is>
          <t>2026-02-11</t>
        </is>
      </c>
      <c r="J135" s="40" t="inlineStr">
        <is>
          <t>2026-02-11</t>
        </is>
      </c>
      <c r="K135" s="39" t="n">
        <v>0</v>
      </c>
      <c r="L135" s="38" t="inlineStr">
        <is>
          <t>Available</t>
        </is>
      </c>
      <c r="M135" s="40" t="inlineStr"/>
      <c r="N135" s="40" t="inlineStr">
        <is>
          <t>RAD</t>
        </is>
      </c>
    </row>
    <row r="136" ht="14" customHeight="1">
      <c r="A136" s="35" t="n">
        <v>135</v>
      </c>
      <c r="B136" s="36" t="inlineStr"/>
      <c r="C136" s="36" t="inlineStr"/>
      <c r="D136" s="37" t="inlineStr">
        <is>
          <t>HDA</t>
        </is>
      </c>
      <c r="E136" s="36" t="inlineStr"/>
      <c r="F136" s="36" t="inlineStr"/>
      <c r="G136" s="36" t="inlineStr"/>
      <c r="H136" s="35" t="n">
        <v>1</v>
      </c>
      <c r="I136" s="36" t="inlineStr">
        <is>
          <t>2025-11-12</t>
        </is>
      </c>
      <c r="J136" s="36" t="inlineStr">
        <is>
          <t>2025-11-12</t>
        </is>
      </c>
      <c r="K136" s="35" t="n">
        <v>0</v>
      </c>
      <c r="L136" s="38" t="inlineStr">
        <is>
          <t>Available</t>
        </is>
      </c>
      <c r="M136" s="36" t="inlineStr"/>
      <c r="N136" s="36" t="inlineStr">
        <is>
          <t>RAD</t>
        </is>
      </c>
    </row>
    <row r="137" ht="14" customHeight="1">
      <c r="A137" s="39" t="n">
        <v>136</v>
      </c>
      <c r="B137" s="40" t="inlineStr"/>
      <c r="C137" s="40" t="inlineStr"/>
      <c r="D137" s="41" t="inlineStr">
        <is>
          <t>CAPPI</t>
        </is>
      </c>
      <c r="E137" s="40" t="inlineStr"/>
      <c r="F137" s="40" t="inlineStr"/>
      <c r="G137" s="40" t="inlineStr"/>
      <c r="H137" s="39" t="n">
        <v>17</v>
      </c>
      <c r="I137" s="40" t="inlineStr">
        <is>
          <t>2025-11-12</t>
        </is>
      </c>
      <c r="J137" s="40" t="inlineStr">
        <is>
          <t>2026-02-11</t>
        </is>
      </c>
      <c r="K137" s="39" t="n">
        <v>91</v>
      </c>
      <c r="L137" s="38" t="inlineStr">
        <is>
          <t>Available</t>
        </is>
      </c>
      <c r="M137" s="40" t="inlineStr"/>
      <c r="N137" s="40" t="inlineStr">
        <is>
          <t>RAD</t>
        </is>
      </c>
    </row>
    <row r="138" ht="14" customHeight="1">
      <c r="A138" s="35" t="n">
        <v>137</v>
      </c>
      <c r="B138" s="36" t="inlineStr"/>
      <c r="C138" s="36" t="inlineStr"/>
      <c r="D138" s="37" t="inlineStr">
        <is>
          <t>ECHO</t>
        </is>
      </c>
      <c r="E138" s="36" t="inlineStr"/>
      <c r="F138" s="36" t="inlineStr"/>
      <c r="G138" s="36" t="inlineStr"/>
      <c r="H138" s="35" t="n">
        <v>5</v>
      </c>
      <c r="I138" s="36" t="inlineStr">
        <is>
          <t>2025-11-12</t>
        </is>
      </c>
      <c r="J138" s="36" t="inlineStr">
        <is>
          <t>2026-02-11</t>
        </is>
      </c>
      <c r="K138" s="35" t="n">
        <v>91</v>
      </c>
      <c r="L138" s="38" t="inlineStr">
        <is>
          <t>Available</t>
        </is>
      </c>
      <c r="M138" s="36" t="inlineStr"/>
      <c r="N138" s="36" t="inlineStr">
        <is>
          <t>RAD</t>
        </is>
      </c>
    </row>
    <row r="139" ht="14" customHeight="1">
      <c r="A139" s="39" t="n">
        <v>138</v>
      </c>
      <c r="B139" s="40" t="inlineStr"/>
      <c r="C139" s="40" t="inlineStr"/>
      <c r="D139" s="41" t="inlineStr">
        <is>
          <t>MAX</t>
        </is>
      </c>
      <c r="E139" s="40" t="inlineStr"/>
      <c r="F139" s="40" t="inlineStr"/>
      <c r="G139" s="40" t="inlineStr"/>
      <c r="H139" s="39" t="n">
        <v>6</v>
      </c>
      <c r="I139" s="40" t="inlineStr">
        <is>
          <t>2025-11-12</t>
        </is>
      </c>
      <c r="J139" s="40" t="inlineStr">
        <is>
          <t>2026-02-11</t>
        </is>
      </c>
      <c r="K139" s="39" t="n">
        <v>91</v>
      </c>
      <c r="L139" s="38" t="inlineStr">
        <is>
          <t>Available</t>
        </is>
      </c>
      <c r="M139" s="40" t="inlineStr"/>
      <c r="N139" s="40" t="inlineStr">
        <is>
          <t>RAD</t>
        </is>
      </c>
    </row>
    <row r="140" ht="14" customHeight="1">
      <c r="A140" s="35" t="n">
        <v>139</v>
      </c>
      <c r="B140" s="36" t="inlineStr"/>
      <c r="C140" s="36" t="inlineStr"/>
      <c r="D140" s="37" t="inlineStr">
        <is>
          <t>3DS</t>
        </is>
      </c>
      <c r="E140" s="36" t="inlineStr"/>
      <c r="F140" s="36" t="inlineStr"/>
      <c r="G140" s="36" t="inlineStr"/>
      <c r="H140" s="35" t="n">
        <v>13</v>
      </c>
      <c r="I140" s="36" t="inlineStr">
        <is>
          <t>2025-11-11</t>
        </is>
      </c>
      <c r="J140" s="36" t="inlineStr">
        <is>
          <t>2026-02-11</t>
        </is>
      </c>
      <c r="K140" s="35" t="n">
        <v>92</v>
      </c>
      <c r="L140" s="38" t="inlineStr">
        <is>
          <t>Available</t>
        </is>
      </c>
      <c r="M140" s="36" t="inlineStr"/>
      <c r="N140" s="36" t="inlineStr">
        <is>
          <t>RAD</t>
        </is>
      </c>
    </row>
    <row r="141" ht="14" customHeight="1">
      <c r="A141" s="39" t="n">
        <v>140</v>
      </c>
      <c r="B141" s="40" t="inlineStr"/>
      <c r="C141" s="40" t="inlineStr"/>
      <c r="D141" s="41" t="inlineStr">
        <is>
          <t>VHL</t>
        </is>
      </c>
      <c r="E141" s="40" t="inlineStr"/>
      <c r="F141" s="40" t="inlineStr"/>
      <c r="G141" s="40" t="inlineStr"/>
      <c r="H141" s="39" t="n">
        <v>8</v>
      </c>
      <c r="I141" s="40" t="inlineStr">
        <is>
          <t>2025-11-11</t>
        </is>
      </c>
      <c r="J141" s="40" t="inlineStr">
        <is>
          <t>2026-02-11</t>
        </is>
      </c>
      <c r="K141" s="39" t="n">
        <v>92</v>
      </c>
      <c r="L141" s="38" t="inlineStr">
        <is>
          <t>Available</t>
        </is>
      </c>
      <c r="M141" s="40" t="inlineStr"/>
      <c r="N141" s="40" t="inlineStr">
        <is>
          <t>RAD</t>
        </is>
      </c>
    </row>
    <row r="142" ht="14" customHeight="1">
      <c r="A142" s="35" t="n">
        <v>141</v>
      </c>
      <c r="B142" s="36" t="inlineStr">
        <is>
          <t>YEA2915</t>
        </is>
      </c>
      <c r="C142" s="36" t="inlineStr">
        <is>
          <t>DP-RDR-8329</t>
        </is>
      </c>
      <c r="D142" s="37" t="inlineStr">
        <is>
          <t>-</t>
        </is>
      </c>
      <c r="E142" s="36" t="inlineStr">
        <is>
          <t>Baskar</t>
        </is>
      </c>
      <c r="F142" s="36" t="inlineStr">
        <is>
          <t>Design Stage</t>
        </is>
      </c>
      <c r="G142" s="36" t="inlineStr">
        <is>
          <t>Design</t>
        </is>
      </c>
      <c r="H142" s="35" t="n">
        <v>0</v>
      </c>
      <c r="I142" s="36" t="inlineStr">
        <is>
          <t>-</t>
        </is>
      </c>
      <c r="J142" s="36" t="inlineStr">
        <is>
          <t>-</t>
        </is>
      </c>
      <c r="K142" s="35" t="inlineStr"/>
      <c r="L142" s="42" t="inlineStr">
        <is>
          <t>Not available</t>
        </is>
      </c>
      <c r="M142" s="36" t="inlineStr"/>
      <c r="N142" s="36" t="inlineStr">
        <is>
          <t>RAD</t>
        </is>
      </c>
    </row>
    <row r="143" ht="14" customHeight="1">
      <c r="A143" s="39" t="n">
        <v>142</v>
      </c>
      <c r="B143" s="40" t="inlineStr">
        <is>
          <t>YEA2930</t>
        </is>
      </c>
      <c r="C143" s="40" t="inlineStr">
        <is>
          <t>DP-SAR-8007</t>
        </is>
      </c>
      <c r="D143" s="41" t="inlineStr">
        <is>
          <t>-</t>
        </is>
      </c>
      <c r="E143" s="40" t="inlineStr"/>
      <c r="F143" s="40" t="inlineStr">
        <is>
          <t>Requirement Stage</t>
        </is>
      </c>
      <c r="G143" s="40" t="inlineStr">
        <is>
          <t>Requirement</t>
        </is>
      </c>
      <c r="H143" s="39" t="n">
        <v>0</v>
      </c>
      <c r="I143" s="40" t="inlineStr">
        <is>
          <t>-</t>
        </is>
      </c>
      <c r="J143" s="40" t="inlineStr">
        <is>
          <t>-</t>
        </is>
      </c>
      <c r="K143" s="39" t="inlineStr"/>
      <c r="L143" s="42" t="inlineStr">
        <is>
          <t>Not available</t>
        </is>
      </c>
      <c r="M143" s="40" t="inlineStr"/>
      <c r="N143" s="40" t="inlineStr">
        <is>
          <t>RAD</t>
        </is>
      </c>
    </row>
    <row r="144" ht="14" customHeight="1">
      <c r="A144" s="35" t="n">
        <v>143</v>
      </c>
      <c r="B144" s="36" t="inlineStr"/>
      <c r="C144" s="36" t="inlineStr">
        <is>
          <t>DP-ATE-8432</t>
        </is>
      </c>
      <c r="D144" s="37" t="inlineStr">
        <is>
          <t>-</t>
        </is>
      </c>
      <c r="E144" s="36" t="inlineStr"/>
      <c r="F144" s="36" t="inlineStr"/>
      <c r="G144" s="36" t="inlineStr"/>
      <c r="H144" s="35" t="n">
        <v>0</v>
      </c>
      <c r="I144" s="36" t="inlineStr">
        <is>
          <t>-</t>
        </is>
      </c>
      <c r="J144" s="36" t="inlineStr">
        <is>
          <t>-</t>
        </is>
      </c>
      <c r="K144" s="35" t="inlineStr"/>
      <c r="L144" s="42" t="inlineStr">
        <is>
          <t>Not available</t>
        </is>
      </c>
      <c r="M144" s="36" t="inlineStr"/>
      <c r="N144" s="36" t="inlineStr">
        <is>
          <t>RAD</t>
        </is>
      </c>
    </row>
    <row r="145" ht="14" customHeight="1">
      <c r="A145" s="39" t="n">
        <v>144</v>
      </c>
      <c r="B145" s="40" t="inlineStr">
        <is>
          <t>YEA2936</t>
        </is>
      </c>
      <c r="C145" s="40" t="inlineStr">
        <is>
          <t>DP-RDR-8308</t>
        </is>
      </c>
      <c r="D145" s="41" t="inlineStr">
        <is>
          <t>-</t>
        </is>
      </c>
      <c r="E145" s="40" t="inlineStr"/>
      <c r="F145" s="40" t="inlineStr">
        <is>
          <t>Requirement Stage</t>
        </is>
      </c>
      <c r="G145" s="40" t="inlineStr">
        <is>
          <t>Requirement</t>
        </is>
      </c>
      <c r="H145" s="39" t="n">
        <v>0</v>
      </c>
      <c r="I145" s="40" t="inlineStr">
        <is>
          <t>-</t>
        </is>
      </c>
      <c r="J145" s="40" t="inlineStr">
        <is>
          <t>-</t>
        </is>
      </c>
      <c r="K145" s="39" t="inlineStr"/>
      <c r="L145" s="42" t="inlineStr">
        <is>
          <t>Not available</t>
        </is>
      </c>
      <c r="M145" s="40" t="inlineStr"/>
      <c r="N145" s="40" t="inlineStr">
        <is>
          <t>RAD</t>
        </is>
      </c>
    </row>
    <row r="146" ht="14" customHeight="1">
      <c r="A146" s="35" t="n">
        <v>145</v>
      </c>
      <c r="B146" s="36" t="inlineStr"/>
      <c r="C146" s="36" t="inlineStr">
        <is>
          <t>DP-RDR-7570</t>
        </is>
      </c>
      <c r="D146" s="37" t="inlineStr">
        <is>
          <t>-</t>
        </is>
      </c>
      <c r="E146" s="36" t="inlineStr"/>
      <c r="F146" s="36" t="inlineStr"/>
      <c r="G146" s="36" t="inlineStr"/>
      <c r="H146" s="35" t="n">
        <v>0</v>
      </c>
      <c r="I146" s="36" t="inlineStr">
        <is>
          <t>-</t>
        </is>
      </c>
      <c r="J146" s="36" t="inlineStr">
        <is>
          <t>-</t>
        </is>
      </c>
      <c r="K146" s="35" t="inlineStr"/>
      <c r="L146" s="42" t="inlineStr">
        <is>
          <t>Not available</t>
        </is>
      </c>
      <c r="M146" s="36" t="inlineStr"/>
      <c r="N146" s="36" t="inlineStr">
        <is>
          <t>RAD</t>
        </is>
      </c>
    </row>
    <row r="147" ht="14" customHeight="1">
      <c r="A147" s="39" t="n">
        <v>146</v>
      </c>
      <c r="B147" s="40" t="inlineStr">
        <is>
          <t>YEC2826</t>
        </is>
      </c>
      <c r="C147" s="40" t="inlineStr">
        <is>
          <t>DP-RDR-7495</t>
        </is>
      </c>
      <c r="D147" s="41" t="inlineStr">
        <is>
          <t>-</t>
        </is>
      </c>
      <c r="E147" s="40" t="inlineStr"/>
      <c r="F147" s="40" t="inlineStr">
        <is>
          <t>Implementation Just Started</t>
        </is>
      </c>
      <c r="G147" s="40" t="inlineStr">
        <is>
          <t>Implementation</t>
        </is>
      </c>
      <c r="H147" s="39" t="n">
        <v>0</v>
      </c>
      <c r="I147" s="40" t="inlineStr"/>
      <c r="J147" s="40" t="inlineStr"/>
      <c r="K147" s="39" t="n">
        <v>0</v>
      </c>
      <c r="L147" s="42" t="inlineStr">
        <is>
          <t>Not available</t>
        </is>
      </c>
      <c r="M147" s="40" t="inlineStr"/>
      <c r="N147" s="40" t="inlineStr">
        <is>
          <t>RAD</t>
        </is>
      </c>
    </row>
    <row r="148" ht="14" customHeight="1">
      <c r="A148" s="35" t="n">
        <v>147</v>
      </c>
      <c r="B148" s="36" t="inlineStr"/>
      <c r="C148" s="36" t="inlineStr">
        <is>
          <t>DP-RDR-8266</t>
        </is>
      </c>
      <c r="D148" s="37" t="inlineStr">
        <is>
          <t>-</t>
        </is>
      </c>
      <c r="E148" s="36" t="inlineStr"/>
      <c r="F148" s="36" t="inlineStr"/>
      <c r="G148" s="36" t="inlineStr"/>
      <c r="H148" s="35" t="n">
        <v>0</v>
      </c>
      <c r="I148" s="36" t="inlineStr"/>
      <c r="J148" s="36" t="inlineStr"/>
      <c r="K148" s="35" t="n">
        <v>0</v>
      </c>
      <c r="L148" s="42" t="inlineStr">
        <is>
          <t>Not available</t>
        </is>
      </c>
      <c r="M148" s="36" t="inlineStr"/>
      <c r="N148" s="36" t="inlineStr">
        <is>
          <t>RAD</t>
        </is>
      </c>
    </row>
    <row r="149" ht="14" customHeight="1">
      <c r="A149" s="39" t="n">
        <v>148</v>
      </c>
      <c r="B149" s="40" t="inlineStr">
        <is>
          <t>YIA2871</t>
        </is>
      </c>
      <c r="C149" s="40" t="inlineStr">
        <is>
          <t>DP-SAR-8004</t>
        </is>
      </c>
      <c r="D149" s="41" t="inlineStr">
        <is>
          <t>-</t>
        </is>
      </c>
      <c r="E149" s="40" t="inlineStr"/>
      <c r="F149" s="40" t="inlineStr">
        <is>
          <t>Implementation Just Started</t>
        </is>
      </c>
      <c r="G149" s="40" t="inlineStr">
        <is>
          <t>Implementation</t>
        </is>
      </c>
      <c r="H149" s="39" t="n">
        <v>0</v>
      </c>
      <c r="I149" s="40" t="inlineStr"/>
      <c r="J149" s="40" t="inlineStr"/>
      <c r="K149" s="39" t="n">
        <v>0</v>
      </c>
      <c r="L149" s="42" t="inlineStr">
        <is>
          <t>Not available</t>
        </is>
      </c>
      <c r="M149" s="40" t="inlineStr"/>
      <c r="N149" s="40" t="inlineStr">
        <is>
          <t>RAD</t>
        </is>
      </c>
    </row>
    <row r="150" ht="14" customHeight="1">
      <c r="A150" s="35" t="n">
        <v>149</v>
      </c>
      <c r="B150" s="36" t="inlineStr">
        <is>
          <t>YEB2830</t>
        </is>
      </c>
      <c r="C150" s="36" t="inlineStr">
        <is>
          <t>DP-RDR-7277</t>
        </is>
      </c>
      <c r="D150" s="37" t="inlineStr">
        <is>
          <t>DP-RDR-7277-V1-AS-PPC-LIN3V8</t>
        </is>
      </c>
      <c r="E150" s="36" t="inlineStr"/>
      <c r="F150" s="36" t="inlineStr">
        <is>
          <t>Completed</t>
        </is>
      </c>
      <c r="G150" s="36" t="inlineStr">
        <is>
          <t>Completed</t>
        </is>
      </c>
      <c r="H150" s="35" t="n">
        <v>6</v>
      </c>
      <c r="I150" s="36" t="inlineStr">
        <is>
          <t>2025-05-23</t>
        </is>
      </c>
      <c r="J150" s="36" t="inlineStr">
        <is>
          <t>2025-06-09</t>
        </is>
      </c>
      <c r="K150" s="35" t="n">
        <v>17</v>
      </c>
      <c r="L150" s="38" t="inlineStr">
        <is>
          <t>Available</t>
        </is>
      </c>
      <c r="M150" s="36" t="inlineStr"/>
      <c r="N150" s="36" t="inlineStr">
        <is>
          <t>RAD</t>
        </is>
      </c>
    </row>
    <row r="151" ht="14" customHeight="1">
      <c r="A151" s="39" t="n">
        <v>150</v>
      </c>
      <c r="B151" s="40" t="inlineStr"/>
      <c r="C151" s="40" t="inlineStr">
        <is>
          <t>DP-RDR-7310</t>
        </is>
      </c>
      <c r="D151" s="41" t="inlineStr">
        <is>
          <t>DP-RDR-7310-V1-AS-x86_64</t>
        </is>
      </c>
      <c r="E151" s="40" t="inlineStr"/>
      <c r="F151" s="40" t="inlineStr"/>
      <c r="G151" s="40" t="inlineStr"/>
      <c r="H151" s="39" t="n">
        <v>7</v>
      </c>
      <c r="I151" s="40" t="inlineStr">
        <is>
          <t>2025-05-23</t>
        </is>
      </c>
      <c r="J151" s="40" t="inlineStr">
        <is>
          <t>2025-06-04</t>
        </is>
      </c>
      <c r="K151" s="39" t="n">
        <v>12</v>
      </c>
      <c r="L151" s="38" t="inlineStr">
        <is>
          <t>Available</t>
        </is>
      </c>
      <c r="M151" s="40" t="inlineStr"/>
      <c r="N151" s="40" t="inlineStr">
        <is>
          <t>RAD</t>
        </is>
      </c>
    </row>
    <row r="152" ht="14" customHeight="1">
      <c r="A152" s="35" t="n">
        <v>151</v>
      </c>
      <c r="B152" s="36" t="inlineStr">
        <is>
          <t>YEC2829</t>
        </is>
      </c>
      <c r="C152" s="36" t="inlineStr">
        <is>
          <t>DP-RDR-8134</t>
        </is>
      </c>
      <c r="D152" s="37" t="inlineStr">
        <is>
          <t>DP-RDR-8134-630-UTILITIES</t>
        </is>
      </c>
      <c r="E152" s="36" t="inlineStr"/>
      <c r="F152" s="36" t="inlineStr">
        <is>
          <t>Completed</t>
        </is>
      </c>
      <c r="G152" s="36" t="inlineStr">
        <is>
          <t>Completed</t>
        </is>
      </c>
      <c r="H152" s="35" t="n">
        <v>7</v>
      </c>
      <c r="I152" s="36" t="inlineStr">
        <is>
          <t>2025-07-30</t>
        </is>
      </c>
      <c r="J152" s="36" t="inlineStr">
        <is>
          <t>2025-08-26</t>
        </is>
      </c>
      <c r="K152" s="35" t="n">
        <v>27</v>
      </c>
      <c r="L152" s="38" t="inlineStr">
        <is>
          <t>Available</t>
        </is>
      </c>
      <c r="M152" s="36" t="inlineStr"/>
      <c r="N152" s="36" t="inlineStr">
        <is>
          <t>RAD</t>
        </is>
      </c>
    </row>
    <row r="153" ht="14" customHeight="1">
      <c r="A153" s="39" t="n">
        <v>152</v>
      </c>
      <c r="B153" s="40" t="inlineStr"/>
      <c r="C153" s="40" t="inlineStr"/>
      <c r="D153" s="41" t="inlineStr">
        <is>
          <t>DP-RDR-8134-630-V1-AS-RC-SIM</t>
        </is>
      </c>
      <c r="E153" s="40" t="inlineStr"/>
      <c r="F153" s="40" t="inlineStr"/>
      <c r="G153" s="40" t="inlineStr"/>
      <c r="H153" s="39" t="n">
        <v>16</v>
      </c>
      <c r="I153" s="40" t="inlineStr">
        <is>
          <t>2025-05-23</t>
        </is>
      </c>
      <c r="J153" s="40" t="inlineStr">
        <is>
          <t>2025-11-11</t>
        </is>
      </c>
      <c r="K153" s="39" t="n">
        <v>172</v>
      </c>
      <c r="L153" s="38" t="inlineStr">
        <is>
          <t>Available</t>
        </is>
      </c>
      <c r="M153" s="40" t="inlineStr"/>
      <c r="N153" s="40" t="inlineStr">
        <is>
          <t>RAD</t>
        </is>
      </c>
    </row>
    <row r="154" ht="14" customHeight="1">
      <c r="A154" s="35" t="n">
        <v>153</v>
      </c>
      <c r="B154" s="36" t="inlineStr"/>
      <c r="C154" s="36" t="inlineStr"/>
      <c r="D154" s="37" t="inlineStr">
        <is>
          <t>DP-RDR-8134-630-V1-AS-RVP-SIM</t>
        </is>
      </c>
      <c r="E154" s="36" t="inlineStr"/>
      <c r="F154" s="36" t="inlineStr"/>
      <c r="G154" s="36" t="inlineStr"/>
      <c r="H154" s="35" t="n">
        <v>13</v>
      </c>
      <c r="I154" s="36" t="inlineStr">
        <is>
          <t>2025-05-23</t>
        </is>
      </c>
      <c r="J154" s="36" t="inlineStr">
        <is>
          <t>2025-12-18</t>
        </is>
      </c>
      <c r="K154" s="35" t="n">
        <v>209</v>
      </c>
      <c r="L154" s="38" t="inlineStr">
        <is>
          <t>Available</t>
        </is>
      </c>
      <c r="M154" s="36" t="inlineStr"/>
      <c r="N154" s="36" t="inlineStr">
        <is>
          <t>RAD</t>
        </is>
      </c>
    </row>
    <row r="155" ht="14" customHeight="1">
      <c r="A155" s="39" t="n">
        <v>154</v>
      </c>
      <c r="B155" s="40" t="inlineStr"/>
      <c r="C155" s="40" t="inlineStr"/>
      <c r="D155" s="41" t="inlineStr">
        <is>
          <t>DP-RDR-8134-630-V1-AS-SP-SIM</t>
        </is>
      </c>
      <c r="E155" s="40" t="inlineStr"/>
      <c r="F155" s="40" t="inlineStr"/>
      <c r="G155" s="40" t="inlineStr"/>
      <c r="H155" s="39" t="n">
        <v>12</v>
      </c>
      <c r="I155" s="40" t="inlineStr">
        <is>
          <t>2025-05-23</t>
        </is>
      </c>
      <c r="J155" s="40" t="inlineStr">
        <is>
          <t>2025-12-04</t>
        </is>
      </c>
      <c r="K155" s="39" t="n">
        <v>195</v>
      </c>
      <c r="L155" s="38" t="inlineStr">
        <is>
          <t>Available</t>
        </is>
      </c>
      <c r="M155" s="40" t="inlineStr"/>
      <c r="N155" s="40" t="inlineStr">
        <is>
          <t>RAD</t>
        </is>
      </c>
    </row>
    <row r="156" ht="14" customHeight="1">
      <c r="A156" s="35" t="n">
        <v>155</v>
      </c>
      <c r="B156" s="36" t="inlineStr">
        <is>
          <t>YIA2647</t>
        </is>
      </c>
      <c r="C156" s="36" t="inlineStr">
        <is>
          <t>DP-RDR-7388</t>
        </is>
      </c>
      <c r="D156" s="37" t="inlineStr"/>
      <c r="E156" s="36" t="inlineStr"/>
      <c r="F156" s="36" t="inlineStr">
        <is>
          <t>Completed</t>
        </is>
      </c>
      <c r="G156" s="36" t="inlineStr">
        <is>
          <t>Completed</t>
        </is>
      </c>
      <c r="H156" s="35" t="n">
        <v>0</v>
      </c>
      <c r="I156" s="36" t="inlineStr"/>
      <c r="J156" s="36" t="inlineStr"/>
      <c r="K156" s="35" t="n">
        <v>0</v>
      </c>
      <c r="L156" s="42" t="inlineStr">
        <is>
          <t>Not available</t>
        </is>
      </c>
      <c r="M156" s="36" t="inlineStr"/>
      <c r="N156" s="36" t="inlineStr">
        <is>
          <t>RAD</t>
        </is>
      </c>
    </row>
    <row r="157" ht="14" customHeight="1">
      <c r="A157" s="39" t="n">
        <v>156</v>
      </c>
      <c r="B157" s="40" t="inlineStr"/>
      <c r="C157" s="40" t="inlineStr">
        <is>
          <t>DP-RDR-8134</t>
        </is>
      </c>
      <c r="D157" s="41" t="inlineStr"/>
      <c r="E157" s="40" t="inlineStr"/>
      <c r="F157" s="40" t="inlineStr"/>
      <c r="G157" s="40" t="inlineStr"/>
      <c r="H157" s="39" t="n">
        <v>18</v>
      </c>
      <c r="I157" s="40" t="inlineStr">
        <is>
          <t>2025-06-09</t>
        </is>
      </c>
      <c r="J157" s="40" t="inlineStr">
        <is>
          <t>2025-12-18</t>
        </is>
      </c>
      <c r="K157" s="39" t="n">
        <v>192</v>
      </c>
      <c r="L157" s="38" t="inlineStr">
        <is>
          <t>Available</t>
        </is>
      </c>
      <c r="M157" s="40" t="inlineStr"/>
      <c r="N157" s="40" t="inlineStr">
        <is>
          <t>RAD</t>
        </is>
      </c>
    </row>
    <row r="158" ht="14" customHeight="1">
      <c r="A158" s="35" t="n">
        <v>157</v>
      </c>
      <c r="B158" s="36" t="inlineStr">
        <is>
          <t>YEC2693</t>
        </is>
      </c>
      <c r="C158" s="36" t="inlineStr">
        <is>
          <t>DP-RTS-8006</t>
        </is>
      </c>
      <c r="D158" s="37" t="inlineStr">
        <is>
          <t>DP-RTS-8006-600-V1-AS-Arch-OS</t>
        </is>
      </c>
      <c r="E158" s="36" t="inlineStr"/>
      <c r="F158" s="36" t="inlineStr">
        <is>
          <t>Completed</t>
        </is>
      </c>
      <c r="G158" s="36" t="inlineStr">
        <is>
          <t>Completed</t>
        </is>
      </c>
      <c r="H158" s="35" t="n">
        <v>7</v>
      </c>
      <c r="I158" s="36" t="inlineStr">
        <is>
          <t>2025-01-02</t>
        </is>
      </c>
      <c r="J158" s="36" t="inlineStr">
        <is>
          <t>2026-02-11</t>
        </is>
      </c>
      <c r="K158" s="35" t="n">
        <v>405</v>
      </c>
      <c r="L158" s="38" t="inlineStr">
        <is>
          <t>Available</t>
        </is>
      </c>
      <c r="M158" s="36" t="inlineStr"/>
      <c r="N158" s="36" t="inlineStr">
        <is>
          <t>RAD</t>
        </is>
      </c>
    </row>
    <row r="159" ht="14" customHeight="1">
      <c r="A159" s="39" t="n">
        <v>158</v>
      </c>
      <c r="B159" s="40" t="inlineStr"/>
      <c r="C159" s="40" t="inlineStr"/>
      <c r="D159" s="41" t="inlineStr">
        <is>
          <t>DP-RTS-8006-V1-AS-RTSCA-PPC64-LIN3V8</t>
        </is>
      </c>
      <c r="E159" s="40" t="inlineStr"/>
      <c r="F159" s="40" t="inlineStr"/>
      <c r="G159" s="40" t="inlineStr"/>
      <c r="H159" s="39" t="n">
        <v>20</v>
      </c>
      <c r="I159" s="40" t="inlineStr">
        <is>
          <t>2025-01-02</t>
        </is>
      </c>
      <c r="J159" s="40" t="inlineStr">
        <is>
          <t>2026-02-11</t>
        </is>
      </c>
      <c r="K159" s="39" t="n">
        <v>405</v>
      </c>
      <c r="L159" s="38" t="inlineStr">
        <is>
          <t>Available</t>
        </is>
      </c>
      <c r="M159" s="40" t="inlineStr"/>
      <c r="N159" s="40" t="inlineStr">
        <is>
          <t>RAD</t>
        </is>
      </c>
    </row>
    <row r="160" ht="14" customHeight="1">
      <c r="A160" s="35" t="n">
        <v>159</v>
      </c>
      <c r="B160" s="36" t="inlineStr">
        <is>
          <t>YEB2694</t>
        </is>
      </c>
      <c r="C160" s="36" t="inlineStr"/>
      <c r="D160" s="37" t="inlineStr">
        <is>
          <t>RTSC</t>
        </is>
      </c>
      <c r="E160" s="36" t="inlineStr"/>
      <c r="F160" s="36" t="inlineStr">
        <is>
          <t>Completed</t>
        </is>
      </c>
      <c r="G160" s="36" t="inlineStr">
        <is>
          <t>Completed</t>
        </is>
      </c>
      <c r="H160" s="35" t="n">
        <v>0</v>
      </c>
      <c r="I160" s="36" t="inlineStr">
        <is>
          <t>2025-01-25</t>
        </is>
      </c>
      <c r="J160" s="36" t="inlineStr">
        <is>
          <t>2026-02-11</t>
        </is>
      </c>
      <c r="K160" s="35" t="n">
        <v>382</v>
      </c>
      <c r="L160" s="38" t="inlineStr">
        <is>
          <t>Available</t>
        </is>
      </c>
      <c r="M160" s="36" t="inlineStr"/>
      <c r="N160" s="36" t="inlineStr">
        <is>
          <t>RAD</t>
        </is>
      </c>
    </row>
    <row r="161" ht="14" customHeight="1">
      <c r="A161" s="39" t="n">
        <v>160</v>
      </c>
      <c r="B161" s="40" t="inlineStr">
        <is>
          <t>YEB2104</t>
        </is>
      </c>
      <c r="C161" s="40" t="inlineStr"/>
      <c r="D161" s="41" t="inlineStr">
        <is>
          <t>RC</t>
        </is>
      </c>
      <c r="E161" s="40" t="inlineStr"/>
      <c r="F161" s="40" t="inlineStr">
        <is>
          <t>Completed</t>
        </is>
      </c>
      <c r="G161" s="40" t="inlineStr">
        <is>
          <t>Customer support</t>
        </is>
      </c>
      <c r="H161" s="39" t="n">
        <v>0</v>
      </c>
      <c r="I161" s="40" t="inlineStr"/>
      <c r="J161" s="40" t="inlineStr"/>
      <c r="K161" s="39" t="inlineStr"/>
      <c r="L161" s="38" t="inlineStr">
        <is>
          <t>Available</t>
        </is>
      </c>
      <c r="M161" s="40" t="inlineStr"/>
      <c r="N161" s="40" t="inlineStr">
        <is>
          <t>RAD</t>
        </is>
      </c>
    </row>
    <row r="162" ht="14" customHeight="1">
      <c r="A162" s="35" t="n">
        <v>161</v>
      </c>
      <c r="B162" s="36" t="inlineStr"/>
      <c r="C162" s="36" t="inlineStr"/>
      <c r="D162" s="37" t="inlineStr">
        <is>
          <t>SP</t>
        </is>
      </c>
      <c r="E162" s="36" t="inlineStr"/>
      <c r="F162" s="36" t="inlineStr"/>
      <c r="G162" s="36" t="inlineStr"/>
      <c r="H162" s="35" t="n">
        <v>0</v>
      </c>
      <c r="I162" s="36" t="inlineStr"/>
      <c r="J162" s="36" t="inlineStr"/>
      <c r="K162" s="35" t="inlineStr"/>
      <c r="L162" s="38" t="inlineStr">
        <is>
          <t>Available</t>
        </is>
      </c>
      <c r="M162" s="36" t="inlineStr"/>
      <c r="N162" s="36" t="inlineStr">
        <is>
          <t>RAD</t>
        </is>
      </c>
    </row>
    <row r="163" ht="14" customHeight="1">
      <c r="A163" s="39" t="n">
        <v>162</v>
      </c>
      <c r="B163" s="40" t="inlineStr"/>
      <c r="C163" s="40" t="inlineStr"/>
      <c r="D163" s="41" t="inlineStr">
        <is>
          <t>SSU</t>
        </is>
      </c>
      <c r="E163" s="40" t="inlineStr"/>
      <c r="F163" s="40" t="inlineStr"/>
      <c r="G163" s="40" t="inlineStr"/>
      <c r="H163" s="39" t="n">
        <v>0</v>
      </c>
      <c r="I163" s="40" t="inlineStr"/>
      <c r="J163" s="40" t="inlineStr"/>
      <c r="K163" s="39" t="inlineStr"/>
      <c r="L163" s="38" t="inlineStr">
        <is>
          <t>Available</t>
        </is>
      </c>
      <c r="M163" s="40" t="inlineStr"/>
      <c r="N163" s="40" t="inlineStr">
        <is>
          <t>RAD</t>
        </is>
      </c>
    </row>
    <row r="164" ht="14" customHeight="1">
      <c r="A164" s="35" t="n">
        <v>163</v>
      </c>
      <c r="B164" s="36" t="inlineStr">
        <is>
          <t>YIB2842</t>
        </is>
      </c>
      <c r="C164" s="36" t="inlineStr">
        <is>
          <t>-</t>
        </is>
      </c>
      <c r="D164" s="37" t="inlineStr">
        <is>
          <t>-</t>
        </is>
      </c>
      <c r="E164" s="36" t="inlineStr"/>
      <c r="F164" s="36" t="inlineStr">
        <is>
          <t>Just Started</t>
        </is>
      </c>
      <c r="G164" s="36" t="inlineStr">
        <is>
          <t>Requirement</t>
        </is>
      </c>
      <c r="H164" s="35" t="n">
        <v>0</v>
      </c>
      <c r="I164" s="36" t="inlineStr"/>
      <c r="J164" s="36" t="inlineStr"/>
      <c r="K164" s="35" t="n">
        <v>0</v>
      </c>
      <c r="L164" s="42" t="inlineStr">
        <is>
          <t>Not available</t>
        </is>
      </c>
      <c r="M164" s="36" t="inlineStr"/>
      <c r="N164" s="36" t="inlineStr">
        <is>
          <t>RAD</t>
        </is>
      </c>
    </row>
    <row r="165" ht="14" customHeight="1">
      <c r="A165" s="39" t="n">
        <v>164</v>
      </c>
      <c r="B165" s="40" t="inlineStr">
        <is>
          <t>YIC2759</t>
        </is>
      </c>
      <c r="C165" s="40" t="inlineStr">
        <is>
          <t>-</t>
        </is>
      </c>
      <c r="D165" s="41" t="inlineStr">
        <is>
          <t>-</t>
        </is>
      </c>
      <c r="E165" s="40" t="inlineStr">
        <is>
          <t>Arun</t>
        </is>
      </c>
      <c r="F165" s="40" t="inlineStr">
        <is>
          <t>Just Started</t>
        </is>
      </c>
      <c r="G165" s="40" t="inlineStr">
        <is>
          <t>Requirement</t>
        </is>
      </c>
      <c r="H165" s="39" t="n">
        <v>0</v>
      </c>
      <c r="I165" s="40" t="inlineStr"/>
      <c r="J165" s="40" t="inlineStr"/>
      <c r="K165" s="39" t="n">
        <v>0</v>
      </c>
      <c r="L165" s="42" t="inlineStr">
        <is>
          <t>Not available</t>
        </is>
      </c>
      <c r="M165" s="40" t="inlineStr"/>
      <c r="N165" s="40" t="inlineStr">
        <is>
          <t>RAD</t>
        </is>
      </c>
    </row>
    <row r="166" ht="14" customHeight="1">
      <c r="A166" s="35" t="n">
        <v>165</v>
      </c>
      <c r="B166" s="36" t="inlineStr">
        <is>
          <t>YIA2822</t>
        </is>
      </c>
      <c r="C166" s="36" t="inlineStr">
        <is>
          <t>DP-CRF-6419</t>
        </is>
      </c>
      <c r="D166" s="37" t="inlineStr">
        <is>
          <t>AS</t>
        </is>
      </c>
      <c r="E166" s="36" t="inlineStr"/>
      <c r="F166" s="36" t="inlineStr"/>
      <c r="G166" s="36" t="inlineStr"/>
      <c r="H166" s="35" t="n">
        <v>0</v>
      </c>
      <c r="I166" s="36" t="inlineStr"/>
      <c r="J166" s="36" t="inlineStr"/>
      <c r="K166" s="35" t="n">
        <v>0</v>
      </c>
      <c r="L166" s="42" t="inlineStr">
        <is>
          <t>Not available</t>
        </is>
      </c>
      <c r="M166" s="36" t="inlineStr"/>
      <c r="N166" s="36" t="inlineStr">
        <is>
          <t>RAD</t>
        </is>
      </c>
    </row>
    <row r="167" ht="14" customHeight="1">
      <c r="A167" s="39" t="n">
        <v>166</v>
      </c>
      <c r="B167" s="40" t="inlineStr"/>
      <c r="C167" s="40" t="inlineStr">
        <is>
          <t>DP-RDR-7474</t>
        </is>
      </c>
      <c r="D167" s="41" t="inlineStr">
        <is>
          <t>ERP_ATP_TARGET</t>
        </is>
      </c>
      <c r="E167" s="40" t="inlineStr"/>
      <c r="F167" s="40" t="inlineStr">
        <is>
          <t>Testing</t>
        </is>
      </c>
      <c r="G167" s="40" t="inlineStr">
        <is>
          <t>Testing</t>
        </is>
      </c>
      <c r="H167" s="39" t="n">
        <v>28</v>
      </c>
      <c r="I167" s="40" t="inlineStr">
        <is>
          <t>2025-07-09</t>
        </is>
      </c>
      <c r="J167" s="40" t="inlineStr">
        <is>
          <t>2026-01-16</t>
        </is>
      </c>
      <c r="K167" s="39" t="n">
        <v>191</v>
      </c>
      <c r="L167" s="38" t="inlineStr">
        <is>
          <t>Available</t>
        </is>
      </c>
      <c r="M167" s="40" t="inlineStr"/>
      <c r="N167" s="40" t="inlineStr">
        <is>
          <t>RAD</t>
        </is>
      </c>
    </row>
    <row r="168" ht="14" customHeight="1">
      <c r="A168" s="35" t="n">
        <v>167</v>
      </c>
      <c r="B168" s="36" t="inlineStr"/>
      <c r="C168" s="36" t="inlineStr"/>
      <c r="D168" s="37" t="inlineStr">
        <is>
          <t>ERP_GUI</t>
        </is>
      </c>
      <c r="E168" s="36" t="inlineStr"/>
      <c r="F168" s="36" t="inlineStr">
        <is>
          <t>Testing</t>
        </is>
      </c>
      <c r="G168" s="36" t="inlineStr">
        <is>
          <t>Testing</t>
        </is>
      </c>
      <c r="H168" s="35" t="n">
        <v>76</v>
      </c>
      <c r="I168" s="36" t="inlineStr">
        <is>
          <t>2025-01-29</t>
        </is>
      </c>
      <c r="J168" s="36" t="inlineStr">
        <is>
          <t>2026-02-11</t>
        </is>
      </c>
      <c r="K168" s="35" t="n">
        <v>378</v>
      </c>
      <c r="L168" s="38" t="inlineStr">
        <is>
          <t>Available</t>
        </is>
      </c>
      <c r="M168" s="36" t="inlineStr"/>
      <c r="N168" s="36" t="inlineStr">
        <is>
          <t>RAD</t>
        </is>
      </c>
    </row>
    <row r="169" ht="14" customHeight="1">
      <c r="A169" s="39" t="n">
        <v>168</v>
      </c>
      <c r="B169" s="40" t="inlineStr"/>
      <c r="C169" s="40" t="inlineStr">
        <is>
          <t>DP-RDR-7477</t>
        </is>
      </c>
      <c r="D169" s="41" t="inlineStr">
        <is>
          <t>AAAU_GUI</t>
        </is>
      </c>
      <c r="E169" s="40" t="inlineStr"/>
      <c r="F169" s="40" t="inlineStr">
        <is>
          <t>Implementation</t>
        </is>
      </c>
      <c r="G169" s="40" t="inlineStr">
        <is>
          <t>Implementation</t>
        </is>
      </c>
      <c r="H169" s="39" t="n">
        <v>60</v>
      </c>
      <c r="I169" s="40" t="inlineStr">
        <is>
          <t>2025-01-02</t>
        </is>
      </c>
      <c r="J169" s="40" t="inlineStr">
        <is>
          <t>2026-02-11</t>
        </is>
      </c>
      <c r="K169" s="39" t="n">
        <v>405</v>
      </c>
      <c r="L169" s="38" t="inlineStr">
        <is>
          <t>Available</t>
        </is>
      </c>
      <c r="M169" s="40" t="inlineStr"/>
      <c r="N169" s="40" t="inlineStr">
        <is>
          <t>RAD</t>
        </is>
      </c>
    </row>
    <row r="170" ht="14" customHeight="1">
      <c r="A170" s="35" t="n">
        <v>169</v>
      </c>
      <c r="B170" s="36" t="inlineStr"/>
      <c r="C170" s="36" t="inlineStr">
        <is>
          <t>DP-RDR-8245</t>
        </is>
      </c>
      <c r="D170" s="37" t="inlineStr">
        <is>
          <t>CMS</t>
        </is>
      </c>
      <c r="E170" s="36" t="inlineStr"/>
      <c r="F170" s="36" t="inlineStr"/>
      <c r="G170" s="36" t="inlineStr"/>
      <c r="H170" s="35" t="n">
        <v>2</v>
      </c>
      <c r="I170" s="36" t="inlineStr">
        <is>
          <t>2026-02-11</t>
        </is>
      </c>
      <c r="J170" s="36" t="inlineStr">
        <is>
          <t>2026-02-12</t>
        </is>
      </c>
      <c r="K170" s="35" t="n">
        <v>1</v>
      </c>
      <c r="L170" s="38" t="inlineStr">
        <is>
          <t>Available</t>
        </is>
      </c>
      <c r="M170" s="36" t="inlineStr"/>
      <c r="N170" s="36" t="inlineStr">
        <is>
          <t>RAD</t>
        </is>
      </c>
    </row>
    <row r="171" ht="14" customHeight="1">
      <c r="A171" s="39" t="n">
        <v>170</v>
      </c>
      <c r="B171" s="40" t="inlineStr"/>
      <c r="C171" s="40" t="inlineStr"/>
      <c r="D171" s="41" t="inlineStr">
        <is>
          <t>DRSP</t>
        </is>
      </c>
      <c r="E171" s="40" t="inlineStr"/>
      <c r="F171" s="40" t="inlineStr"/>
      <c r="G171" s="40" t="inlineStr"/>
      <c r="H171" s="39" t="n">
        <v>34</v>
      </c>
      <c r="I171" s="40" t="inlineStr">
        <is>
          <t>2025-03-13</t>
        </is>
      </c>
      <c r="J171" s="40" t="inlineStr">
        <is>
          <t>2025-11-14</t>
        </is>
      </c>
      <c r="K171" s="39" t="n">
        <v>246</v>
      </c>
      <c r="L171" s="38" t="inlineStr">
        <is>
          <t>Available</t>
        </is>
      </c>
      <c r="M171" s="40" t="inlineStr"/>
      <c r="N171" s="40" t="inlineStr">
        <is>
          <t>RAD</t>
        </is>
      </c>
    </row>
    <row r="172" ht="14" customHeight="1">
      <c r="A172" s="35" t="n">
        <v>171</v>
      </c>
      <c r="B172" s="36" t="inlineStr"/>
      <c r="C172" s="36" t="inlineStr"/>
      <c r="D172" s="37" t="inlineStr">
        <is>
          <t>OBC_SIM</t>
        </is>
      </c>
      <c r="E172" s="36" t="inlineStr"/>
      <c r="F172" s="36" t="inlineStr"/>
      <c r="G172" s="36" t="inlineStr"/>
      <c r="H172" s="35" t="n">
        <v>4</v>
      </c>
      <c r="I172" s="36" t="inlineStr">
        <is>
          <t>2025-12-24</t>
        </is>
      </c>
      <c r="J172" s="36" t="inlineStr">
        <is>
          <t>2026-01-29</t>
        </is>
      </c>
      <c r="K172" s="35" t="n">
        <v>36</v>
      </c>
      <c r="L172" s="38" t="inlineStr">
        <is>
          <t>Available</t>
        </is>
      </c>
      <c r="M172" s="36" t="inlineStr"/>
      <c r="N172" s="36" t="inlineStr">
        <is>
          <t>RAD</t>
        </is>
      </c>
    </row>
    <row r="173" ht="14" customHeight="1">
      <c r="A173" s="39" t="n">
        <v>172</v>
      </c>
      <c r="B173" s="40" t="inlineStr"/>
      <c r="C173" s="40" t="inlineStr"/>
      <c r="D173" s="41" t="inlineStr">
        <is>
          <t>RSP-A</t>
        </is>
      </c>
      <c r="E173" s="40" t="inlineStr"/>
      <c r="F173" s="40" t="inlineStr"/>
      <c r="G173" s="40" t="inlineStr"/>
      <c r="H173" s="39" t="n">
        <v>26</v>
      </c>
      <c r="I173" s="40" t="inlineStr">
        <is>
          <t>2025-06-02</t>
        </is>
      </c>
      <c r="J173" s="40" t="inlineStr">
        <is>
          <t>2026-02-12</t>
        </is>
      </c>
      <c r="K173" s="39" t="n">
        <v>255</v>
      </c>
      <c r="L173" s="38" t="inlineStr">
        <is>
          <t>Available</t>
        </is>
      </c>
      <c r="M173" s="40" t="inlineStr"/>
      <c r="N173" s="40" t="inlineStr">
        <is>
          <t>RAD</t>
        </is>
      </c>
    </row>
    <row r="174" ht="14" customHeight="1">
      <c r="A174" s="35" t="n">
        <v>173</v>
      </c>
      <c r="B174" s="36" t="inlineStr"/>
      <c r="C174" s="36" t="inlineStr"/>
      <c r="D174" s="37" t="inlineStr">
        <is>
          <t>RSP_Slave</t>
        </is>
      </c>
      <c r="E174" s="36" t="inlineStr"/>
      <c r="F174" s="36" t="inlineStr"/>
      <c r="G174" s="36" t="inlineStr"/>
      <c r="H174" s="35" t="n">
        <v>23</v>
      </c>
      <c r="I174" s="36" t="inlineStr">
        <is>
          <t>2025-07-08</t>
        </is>
      </c>
      <c r="J174" s="36" t="inlineStr">
        <is>
          <t>2026-02-11</t>
        </is>
      </c>
      <c r="K174" s="35" t="n">
        <v>218</v>
      </c>
      <c r="L174" s="38" t="inlineStr">
        <is>
          <t>Available</t>
        </is>
      </c>
      <c r="M174" s="36" t="inlineStr"/>
      <c r="N174" s="36" t="inlineStr">
        <is>
          <t>RAD</t>
        </is>
      </c>
    </row>
    <row r="175" ht="14" customHeight="1">
      <c r="A175" s="39" t="n">
        <v>174</v>
      </c>
      <c r="B175" s="40" t="inlineStr"/>
      <c r="C175" s="40" t="inlineStr"/>
      <c r="D175" s="41" t="inlineStr">
        <is>
          <t>SYS_GUI</t>
        </is>
      </c>
      <c r="E175" s="40" t="inlineStr"/>
      <c r="F175" s="40" t="inlineStr"/>
      <c r="G175" s="40" t="inlineStr"/>
      <c r="H175" s="39" t="n">
        <v>10</v>
      </c>
      <c r="I175" s="40" t="inlineStr">
        <is>
          <t>2025-03-13</t>
        </is>
      </c>
      <c r="J175" s="40" t="inlineStr">
        <is>
          <t>2025-04-24</t>
        </is>
      </c>
      <c r="K175" s="39" t="n">
        <v>42</v>
      </c>
      <c r="L175" s="38" t="inlineStr">
        <is>
          <t>Available</t>
        </is>
      </c>
      <c r="M175" s="40" t="inlineStr"/>
      <c r="N175" s="40" t="inlineStr">
        <is>
          <t>RAD</t>
        </is>
      </c>
    </row>
    <row r="176" ht="14" customHeight="1">
      <c r="A176" s="35" t="n">
        <v>175</v>
      </c>
      <c r="B176" s="36" t="inlineStr"/>
      <c r="C176" s="36" t="inlineStr"/>
      <c r="D176" s="37" t="inlineStr">
        <is>
          <t>SYS_TARGET</t>
        </is>
      </c>
      <c r="E176" s="36" t="inlineStr"/>
      <c r="F176" s="36" t="inlineStr"/>
      <c r="G176" s="36" t="inlineStr"/>
      <c r="H176" s="35" t="n">
        <v>54</v>
      </c>
      <c r="I176" s="36" t="inlineStr">
        <is>
          <t>2025-07-10</t>
        </is>
      </c>
      <c r="J176" s="36" t="inlineStr">
        <is>
          <t>2026-01-29</t>
        </is>
      </c>
      <c r="K176" s="35" t="n">
        <v>203</v>
      </c>
      <c r="L176" s="38" t="inlineStr">
        <is>
          <t>Available</t>
        </is>
      </c>
      <c r="M176" s="36" t="inlineStr"/>
      <c r="N176" s="36" t="inlineStr">
        <is>
          <t>RAD</t>
        </is>
      </c>
    </row>
    <row r="177" ht="14" customHeight="1">
      <c r="A177" s="39" t="n">
        <v>176</v>
      </c>
      <c r="B177" s="40" t="inlineStr">
        <is>
          <t>YEA2707</t>
        </is>
      </c>
      <c r="C177" s="40" t="inlineStr">
        <is>
          <t>DP-RDR-8140</t>
        </is>
      </c>
      <c r="D177" s="41" t="inlineStr">
        <is>
          <t>RCMS</t>
        </is>
      </c>
      <c r="E177" s="40" t="inlineStr"/>
      <c r="F177" s="40" t="inlineStr">
        <is>
          <t>Customer Support</t>
        </is>
      </c>
      <c r="G177" s="40" t="inlineStr">
        <is>
          <t>Customer Support</t>
        </is>
      </c>
      <c r="H177" s="39" t="n">
        <v>6</v>
      </c>
      <c r="I177" s="40" t="inlineStr">
        <is>
          <t>2024-12-30</t>
        </is>
      </c>
      <c r="J177" s="40" t="inlineStr">
        <is>
          <t>2025-12-29</t>
        </is>
      </c>
      <c r="K177" s="39" t="n">
        <v>364</v>
      </c>
      <c r="L177" s="38" t="inlineStr">
        <is>
          <t>Available</t>
        </is>
      </c>
      <c r="M177" s="40" t="inlineStr"/>
      <c r="N177" s="40" t="inlineStr">
        <is>
          <t>RAD</t>
        </is>
      </c>
    </row>
    <row r="178" ht="14" customHeight="1">
      <c r="A178" s="35" t="n">
        <v>177</v>
      </c>
      <c r="B178" s="36" t="inlineStr"/>
      <c r="C178" s="36" t="inlineStr"/>
      <c r="D178" s="37" t="inlineStr">
        <is>
          <t>RSCA</t>
        </is>
      </c>
      <c r="E178" s="36" t="inlineStr"/>
      <c r="F178" s="36" t="inlineStr"/>
      <c r="G178" s="36" t="inlineStr"/>
      <c r="H178" s="35" t="n">
        <v>6</v>
      </c>
      <c r="I178" s="36" t="inlineStr">
        <is>
          <t>2024-12-30</t>
        </is>
      </c>
      <c r="J178" s="36" t="inlineStr">
        <is>
          <t>2025-12-02</t>
        </is>
      </c>
      <c r="K178" s="35" t="n">
        <v>337</v>
      </c>
      <c r="L178" s="38" t="inlineStr">
        <is>
          <t>Available</t>
        </is>
      </c>
      <c r="M178" s="36" t="inlineStr"/>
      <c r="N178" s="36" t="inlineStr">
        <is>
          <t>RAD</t>
        </is>
      </c>
    </row>
    <row r="179" ht="14" customHeight="1">
      <c r="A179" s="39" t="n">
        <v>178</v>
      </c>
      <c r="B179" s="40" t="inlineStr"/>
      <c r="C179" s="40" t="inlineStr"/>
      <c r="D179" s="41" t="inlineStr">
        <is>
          <t>RSP</t>
        </is>
      </c>
      <c r="E179" s="40" t="inlineStr"/>
      <c r="F179" s="40" t="inlineStr"/>
      <c r="G179" s="40" t="inlineStr"/>
      <c r="H179" s="39" t="n">
        <v>6</v>
      </c>
      <c r="I179" s="40" t="inlineStr">
        <is>
          <t>2025-12-02</t>
        </is>
      </c>
      <c r="J179" s="40" t="inlineStr">
        <is>
          <t>2025-12-02</t>
        </is>
      </c>
      <c r="K179" s="39" t="n">
        <v>0</v>
      </c>
      <c r="L179" s="38" t="inlineStr">
        <is>
          <t>Available</t>
        </is>
      </c>
      <c r="M179" s="40" t="inlineStr"/>
      <c r="N179" s="40" t="inlineStr">
        <is>
          <t>RAD</t>
        </is>
      </c>
    </row>
    <row r="180" ht="14" customHeight="1">
      <c r="A180" s="35" t="n">
        <v>179</v>
      </c>
      <c r="B180" s="36" t="inlineStr"/>
      <c r="C180" s="36" t="inlineStr"/>
      <c r="D180" s="37" t="inlineStr">
        <is>
          <t>PATA-GUI</t>
        </is>
      </c>
      <c r="E180" s="36" t="inlineStr"/>
      <c r="F180" s="36" t="inlineStr">
        <is>
          <t>Completed</t>
        </is>
      </c>
      <c r="G180" s="36" t="inlineStr">
        <is>
          <t>Completed</t>
        </is>
      </c>
      <c r="H180" s="35" t="n">
        <v>6</v>
      </c>
      <c r="I180" s="36" t="inlineStr">
        <is>
          <t>2025-04-26</t>
        </is>
      </c>
      <c r="J180" s="36" t="inlineStr">
        <is>
          <t>2025-04-28</t>
        </is>
      </c>
      <c r="K180" s="35" t="n">
        <v>2</v>
      </c>
      <c r="L180" s="38" t="inlineStr">
        <is>
          <t>Available</t>
        </is>
      </c>
      <c r="M180" s="36" t="inlineStr"/>
      <c r="N180" s="36" t="inlineStr">
        <is>
          <t>RAD</t>
        </is>
      </c>
    </row>
    <row r="181" ht="14" customHeight="1">
      <c r="A181" s="39" t="n">
        <v>180</v>
      </c>
      <c r="B181" s="40" t="inlineStr">
        <is>
          <t>SIB2999</t>
        </is>
      </c>
      <c r="C181" s="40" t="inlineStr">
        <is>
          <t>DP-SWR-8005</t>
        </is>
      </c>
      <c r="D181" s="41" t="inlineStr">
        <is>
          <t>PARDP-BRIDGE</t>
        </is>
      </c>
      <c r="E181" s="40" t="inlineStr"/>
      <c r="F181" s="40" t="inlineStr">
        <is>
          <t>Implementation</t>
        </is>
      </c>
      <c r="G181" s="40" t="inlineStr">
        <is>
          <t>Implementation</t>
        </is>
      </c>
      <c r="H181" s="39" t="n">
        <v>19</v>
      </c>
      <c r="I181" s="40" t="inlineStr">
        <is>
          <t>2025-11-28</t>
        </is>
      </c>
      <c r="J181" s="40" t="inlineStr">
        <is>
          <t>2026-02-11</t>
        </is>
      </c>
      <c r="K181" s="39" t="n">
        <v>75</v>
      </c>
      <c r="L181" s="38" t="inlineStr">
        <is>
          <t>Available</t>
        </is>
      </c>
      <c r="M181" s="40" t="inlineStr"/>
      <c r="N181" s="40" t="inlineStr">
        <is>
          <t>RAD</t>
        </is>
      </c>
    </row>
    <row r="182" ht="14" customHeight="1">
      <c r="A182" s="35" t="n">
        <v>181</v>
      </c>
      <c r="B182" s="36" t="inlineStr"/>
      <c r="C182" s="36" t="inlineStr"/>
      <c r="D182" s="37" t="inlineStr">
        <is>
          <t>PARDP-RECORDER</t>
        </is>
      </c>
      <c r="E182" s="36" t="inlineStr"/>
      <c r="F182" s="36" t="inlineStr"/>
      <c r="G182" s="36" t="inlineStr"/>
      <c r="H182" s="35" t="n">
        <v>10</v>
      </c>
      <c r="I182" s="36" t="inlineStr">
        <is>
          <t>2025-09-23</t>
        </is>
      </c>
      <c r="J182" s="36" t="inlineStr">
        <is>
          <t>2026-02-11</t>
        </is>
      </c>
      <c r="K182" s="35" t="n">
        <v>141</v>
      </c>
      <c r="L182" s="38" t="inlineStr">
        <is>
          <t>Available</t>
        </is>
      </c>
      <c r="M182" s="36" t="inlineStr"/>
      <c r="N182" s="36" t="inlineStr">
        <is>
          <t>RAD</t>
        </is>
      </c>
    </row>
    <row r="183" ht="14" customHeight="1">
      <c r="A183" s="39" t="n">
        <v>182</v>
      </c>
      <c r="B183" s="40" t="inlineStr"/>
      <c r="C183" s="40" t="inlineStr"/>
      <c r="D183" s="41" t="inlineStr">
        <is>
          <t>PARDP-TRACKER</t>
        </is>
      </c>
      <c r="E183" s="40" t="inlineStr"/>
      <c r="F183" s="40" t="inlineStr"/>
      <c r="G183" s="40" t="inlineStr"/>
      <c r="H183" s="39" t="n">
        <v>10</v>
      </c>
      <c r="I183" s="40" t="inlineStr">
        <is>
          <t>2025-09-23</t>
        </is>
      </c>
      <c r="J183" s="40" t="inlineStr">
        <is>
          <t>2026-02-11</t>
        </is>
      </c>
      <c r="K183" s="39" t="n">
        <v>141</v>
      </c>
      <c r="L183" s="38" t="inlineStr">
        <is>
          <t>Available</t>
        </is>
      </c>
      <c r="M183" s="40" t="inlineStr"/>
      <c r="N183" s="40" t="inlineStr">
        <is>
          <t>RAD</t>
        </is>
      </c>
    </row>
    <row r="184" ht="14" customHeight="1">
      <c r="A184" s="35" t="n">
        <v>183</v>
      </c>
      <c r="B184" s="36" t="inlineStr"/>
      <c r="C184" s="36" t="inlineStr"/>
      <c r="D184" s="37" t="inlineStr">
        <is>
          <t>PARDD</t>
        </is>
      </c>
      <c r="E184" s="36" t="inlineStr"/>
      <c r="F184" s="36" t="inlineStr"/>
      <c r="G184" s="36" t="inlineStr"/>
      <c r="H184" s="35" t="n">
        <v>19</v>
      </c>
      <c r="I184" s="36" t="inlineStr">
        <is>
          <t>2025-09-23</t>
        </is>
      </c>
      <c r="J184" s="36" t="inlineStr">
        <is>
          <t>2026-02-11</t>
        </is>
      </c>
      <c r="K184" s="35" t="n">
        <v>141</v>
      </c>
      <c r="L184" s="38" t="inlineStr">
        <is>
          <t>Available</t>
        </is>
      </c>
      <c r="M184" s="36" t="inlineStr"/>
      <c r="N184" s="36" t="inlineStr">
        <is>
          <t>RAD</t>
        </is>
      </c>
    </row>
    <row r="185" ht="14" customHeight="1">
      <c r="A185" s="39" t="n">
        <v>184</v>
      </c>
      <c r="B185" s="40" t="inlineStr"/>
      <c r="C185" s="40" t="inlineStr"/>
      <c r="D185" s="41" t="inlineStr">
        <is>
          <t>PARSIM</t>
        </is>
      </c>
      <c r="E185" s="40" t="inlineStr"/>
      <c r="F185" s="40" t="inlineStr"/>
      <c r="G185" s="40" t="inlineStr"/>
      <c r="H185" s="39" t="n">
        <v>12</v>
      </c>
      <c r="I185" s="40" t="inlineStr">
        <is>
          <t>2025-09-23</t>
        </is>
      </c>
      <c r="J185" s="40" t="inlineStr">
        <is>
          <t>2026-02-11</t>
        </is>
      </c>
      <c r="K185" s="39" t="n">
        <v>141</v>
      </c>
      <c r="L185" s="38" t="inlineStr">
        <is>
          <t>Available</t>
        </is>
      </c>
      <c r="M185" s="40" t="inlineStr"/>
      <c r="N185" s="40" t="inlineStr">
        <is>
          <t>RAD</t>
        </is>
      </c>
    </row>
    <row r="186" ht="14" customHeight="1">
      <c r="A186" s="35" t="n">
        <v>185</v>
      </c>
      <c r="B186" s="36" t="inlineStr"/>
      <c r="C186" s="36" t="inlineStr"/>
      <c r="D186" s="37" t="inlineStr">
        <is>
          <t>PARFS</t>
        </is>
      </c>
      <c r="E186" s="36" t="inlineStr"/>
      <c r="F186" s="36" t="inlineStr">
        <is>
          <t>Just Started Implementation</t>
        </is>
      </c>
      <c r="G186" s="36" t="inlineStr"/>
      <c r="H186" s="35" t="n">
        <v>8</v>
      </c>
      <c r="I186" s="36" t="inlineStr">
        <is>
          <t>2025-09-23</t>
        </is>
      </c>
      <c r="J186" s="36" t="inlineStr">
        <is>
          <t>2026-01-06</t>
        </is>
      </c>
      <c r="K186" s="35" t="n">
        <v>105</v>
      </c>
      <c r="L186" s="38" t="inlineStr">
        <is>
          <t>Available</t>
        </is>
      </c>
      <c r="M186" s="36" t="inlineStr"/>
      <c r="N186" s="36" t="inlineStr">
        <is>
          <t>RAD</t>
        </is>
      </c>
    </row>
    <row r="187" ht="14" customHeight="1">
      <c r="A187" s="39" t="n">
        <v>186</v>
      </c>
      <c r="B187" s="40" t="inlineStr">
        <is>
          <t>YEA2876</t>
        </is>
      </c>
      <c r="C187" s="40" t="inlineStr">
        <is>
          <t>DP-SPL-6735</t>
        </is>
      </c>
      <c r="D187" s="41" t="inlineStr">
        <is>
          <t>FWS</t>
        </is>
      </c>
      <c r="E187" s="40" t="inlineStr"/>
      <c r="F187" s="40" t="inlineStr">
        <is>
          <t>Testing</t>
        </is>
      </c>
      <c r="G187" s="40" t="inlineStr">
        <is>
          <t>Testing</t>
        </is>
      </c>
      <c r="H187" s="39" t="n">
        <v>13</v>
      </c>
      <c r="I187" s="40" t="inlineStr">
        <is>
          <t>6 Nov 2025</t>
        </is>
      </c>
      <c r="J187" s="40" t="inlineStr">
        <is>
          <t>12 Feb 2026</t>
        </is>
      </c>
      <c r="K187" s="39" t="n">
        <v>98</v>
      </c>
      <c r="L187" s="38" t="inlineStr">
        <is>
          <t>Yes</t>
        </is>
      </c>
      <c r="M187" s="40" t="inlineStr"/>
      <c r="N187" s="40" t="inlineStr">
        <is>
          <t>AGM</t>
        </is>
      </c>
    </row>
    <row r="188" ht="14" customHeight="1">
      <c r="A188" s="35" t="n">
        <v>187</v>
      </c>
      <c r="B188" s="36" t="inlineStr"/>
      <c r="C188" s="36" t="inlineStr">
        <is>
          <t>IT-SPL-5003</t>
        </is>
      </c>
      <c r="D188" s="37" t="inlineStr">
        <is>
          <t>AS</t>
        </is>
      </c>
      <c r="E188" s="36" t="inlineStr"/>
      <c r="F188" s="36" t="inlineStr"/>
      <c r="G188" s="36" t="inlineStr"/>
      <c r="H188" s="35" t="n">
        <v>4</v>
      </c>
      <c r="I188" s="36" t="inlineStr">
        <is>
          <t>5 Dec 2025</t>
        </is>
      </c>
      <c r="J188" s="36" t="inlineStr">
        <is>
          <t>10 Feb 2026</t>
        </is>
      </c>
      <c r="K188" s="35" t="n">
        <v>67</v>
      </c>
      <c r="L188" s="38" t="inlineStr">
        <is>
          <t>Yes</t>
        </is>
      </c>
      <c r="M188" s="36" t="inlineStr"/>
      <c r="N188" s="36" t="inlineStr">
        <is>
          <t>AGM</t>
        </is>
      </c>
    </row>
    <row r="189" ht="14" customHeight="1">
      <c r="A189" s="39" t="n">
        <v>188</v>
      </c>
      <c r="B189" s="40" t="inlineStr"/>
      <c r="C189" s="40" t="inlineStr"/>
      <c r="D189" s="41" t="inlineStr">
        <is>
          <t>BLS</t>
        </is>
      </c>
      <c r="E189" s="40" t="inlineStr"/>
      <c r="F189" s="40" t="inlineStr"/>
      <c r="G189" s="40" t="inlineStr"/>
      <c r="H189" s="39" t="n">
        <v>3</v>
      </c>
      <c r="I189" s="40" t="inlineStr">
        <is>
          <t>5 Dec 2025</t>
        </is>
      </c>
      <c r="J189" s="40" t="inlineStr">
        <is>
          <t>22 Dec 2025</t>
        </is>
      </c>
      <c r="K189" s="39" t="n">
        <v>17</v>
      </c>
      <c r="L189" s="38" t="inlineStr">
        <is>
          <t>Yes</t>
        </is>
      </c>
      <c r="M189" s="40" t="inlineStr"/>
      <c r="N189" s="40" t="inlineStr">
        <is>
          <t>AGM</t>
        </is>
      </c>
    </row>
    <row r="190" ht="14" customHeight="1">
      <c r="A190" s="35" t="n">
        <v>189</v>
      </c>
      <c r="B190" s="36" t="inlineStr"/>
      <c r="C190" s="36" t="inlineStr"/>
      <c r="D190" s="37" t="inlineStr">
        <is>
          <t>FWS</t>
        </is>
      </c>
      <c r="E190" s="36" t="inlineStr"/>
      <c r="F190" s="36" t="inlineStr"/>
      <c r="G190" s="36" t="inlineStr"/>
      <c r="H190" s="35" t="n">
        <v>4</v>
      </c>
      <c r="I190" s="36" t="inlineStr">
        <is>
          <t>5 Dec 2025</t>
        </is>
      </c>
      <c r="J190" s="36" t="inlineStr">
        <is>
          <t>20 Jan 2026</t>
        </is>
      </c>
      <c r="K190" s="35" t="n">
        <v>46</v>
      </c>
      <c r="L190" s="38" t="inlineStr">
        <is>
          <t>Yes</t>
        </is>
      </c>
      <c r="M190" s="36" t="inlineStr"/>
      <c r="N190" s="36" t="inlineStr">
        <is>
          <t>AGM</t>
        </is>
      </c>
    </row>
    <row r="191" ht="14" customHeight="1">
      <c r="A191" s="39" t="n">
        <v>190</v>
      </c>
      <c r="B191" s="40" t="inlineStr"/>
      <c r="C191" s="40" t="inlineStr">
        <is>
          <t>IT-SPL-5000</t>
        </is>
      </c>
      <c r="D191" s="41" t="inlineStr">
        <is>
          <t>FWS</t>
        </is>
      </c>
      <c r="E191" s="40" t="inlineStr"/>
      <c r="F191" s="40" t="inlineStr"/>
      <c r="G191" s="40" t="inlineStr"/>
      <c r="H191" s="39" t="n">
        <v>2</v>
      </c>
      <c r="I191" s="40" t="inlineStr">
        <is>
          <t>4 Jun 2025</t>
        </is>
      </c>
      <c r="J191" s="40" t="inlineStr">
        <is>
          <t>12 Jun 2025</t>
        </is>
      </c>
      <c r="K191" s="39" t="n">
        <v>8</v>
      </c>
      <c r="L191" s="38" t="inlineStr">
        <is>
          <t>Yes</t>
        </is>
      </c>
      <c r="M191" s="40" t="inlineStr"/>
      <c r="N191" s="40" t="inlineStr">
        <is>
          <t>AGM</t>
        </is>
      </c>
    </row>
    <row r="192" ht="14" customHeight="1">
      <c r="A192" s="35" t="n">
        <v>191</v>
      </c>
      <c r="B192" s="36" t="inlineStr"/>
      <c r="C192" s="36" t="inlineStr"/>
      <c r="D192" s="37" t="inlineStr">
        <is>
          <t>AS</t>
        </is>
      </c>
      <c r="E192" s="36" t="inlineStr"/>
      <c r="F192" s="36" t="inlineStr"/>
      <c r="G192" s="36" t="inlineStr"/>
      <c r="H192" s="35" t="n">
        <v>2</v>
      </c>
      <c r="I192" s="36" t="inlineStr">
        <is>
          <t>4 Jun 2025</t>
        </is>
      </c>
      <c r="J192" s="36" t="inlineStr">
        <is>
          <t>12 Jun 2025</t>
        </is>
      </c>
      <c r="K192" s="35" t="n">
        <v>8</v>
      </c>
      <c r="L192" s="38" t="inlineStr">
        <is>
          <t>Yes</t>
        </is>
      </c>
      <c r="M192" s="36" t="inlineStr"/>
      <c r="N192" s="36" t="inlineStr">
        <is>
          <t>AGM</t>
        </is>
      </c>
    </row>
    <row r="193" ht="14" customHeight="1">
      <c r="A193" s="39" t="n">
        <v>192</v>
      </c>
      <c r="B193" s="40" t="inlineStr"/>
      <c r="C193" s="40" t="inlineStr">
        <is>
          <t>DP-SPL-7306</t>
        </is>
      </c>
      <c r="D193" s="41" t="inlineStr">
        <is>
          <t>FWS</t>
        </is>
      </c>
      <c r="E193" s="40" t="inlineStr"/>
      <c r="F193" s="40" t="inlineStr"/>
      <c r="G193" s="40" t="inlineStr"/>
      <c r="H193" s="39" t="n">
        <v>0</v>
      </c>
      <c r="I193" s="40" t="inlineStr">
        <is>
          <t>-</t>
        </is>
      </c>
      <c r="J193" s="40" t="inlineStr">
        <is>
          <t>-</t>
        </is>
      </c>
      <c r="K193" s="39" t="inlineStr"/>
      <c r="L193" s="42" t="inlineStr">
        <is>
          <t>No</t>
        </is>
      </c>
      <c r="M193" s="40" t="inlineStr"/>
      <c r="N193" s="40" t="inlineStr">
        <is>
          <t>AGM</t>
        </is>
      </c>
    </row>
    <row r="194" ht="14" customHeight="1">
      <c r="A194" s="35" t="n">
        <v>193</v>
      </c>
      <c r="B194" s="36" t="inlineStr"/>
      <c r="C194" s="36" t="inlineStr"/>
      <c r="D194" s="37" t="inlineStr">
        <is>
          <t>AS</t>
        </is>
      </c>
      <c r="E194" s="36" t="inlineStr"/>
      <c r="F194" s="36" t="inlineStr"/>
      <c r="G194" s="36" t="inlineStr"/>
      <c r="H194" s="35" t="n">
        <v>0</v>
      </c>
      <c r="I194" s="36" t="inlineStr">
        <is>
          <t>-</t>
        </is>
      </c>
      <c r="J194" s="36" t="inlineStr">
        <is>
          <t>-</t>
        </is>
      </c>
      <c r="K194" s="35" t="inlineStr"/>
      <c r="L194" s="42" t="inlineStr">
        <is>
          <t>No</t>
        </is>
      </c>
      <c r="M194" s="36" t="inlineStr"/>
      <c r="N194" s="36" t="inlineStr">
        <is>
          <t>AGM</t>
        </is>
      </c>
    </row>
    <row r="195" ht="14" customHeight="1">
      <c r="A195" s="39" t="n">
        <v>194</v>
      </c>
      <c r="B195" s="40" t="inlineStr"/>
      <c r="C195" s="40" t="inlineStr">
        <is>
          <t>DP-SPL-7123</t>
        </is>
      </c>
      <c r="D195" s="41" t="inlineStr">
        <is>
          <t>FWS</t>
        </is>
      </c>
      <c r="E195" s="40" t="inlineStr"/>
      <c r="F195" s="40" t="inlineStr"/>
      <c r="G195" s="40" t="inlineStr"/>
      <c r="H195" s="39" t="n">
        <v>0</v>
      </c>
      <c r="I195" s="40" t="inlineStr">
        <is>
          <t>-</t>
        </is>
      </c>
      <c r="J195" s="40" t="inlineStr">
        <is>
          <t>-</t>
        </is>
      </c>
      <c r="K195" s="39" t="inlineStr"/>
      <c r="L195" s="42" t="inlineStr">
        <is>
          <t>No</t>
        </is>
      </c>
      <c r="M195" s="40" t="inlineStr"/>
      <c r="N195" s="40" t="inlineStr">
        <is>
          <t>AGM</t>
        </is>
      </c>
    </row>
    <row r="196" ht="14" customHeight="1">
      <c r="A196" s="35" t="n">
        <v>195</v>
      </c>
      <c r="B196" s="36" t="inlineStr"/>
      <c r="C196" s="36" t="inlineStr"/>
      <c r="D196" s="37" t="inlineStr">
        <is>
          <t>AS</t>
        </is>
      </c>
      <c r="E196" s="36" t="inlineStr"/>
      <c r="F196" s="36" t="inlineStr"/>
      <c r="G196" s="36" t="inlineStr"/>
      <c r="H196" s="35" t="n">
        <v>0</v>
      </c>
      <c r="I196" s="36" t="inlineStr">
        <is>
          <t>-</t>
        </is>
      </c>
      <c r="J196" s="36" t="inlineStr">
        <is>
          <t>-</t>
        </is>
      </c>
      <c r="K196" s="35" t="inlineStr"/>
      <c r="L196" s="42" t="inlineStr">
        <is>
          <t>No</t>
        </is>
      </c>
      <c r="M196" s="36" t="inlineStr"/>
      <c r="N196" s="36" t="inlineStr">
        <is>
          <t>AGM</t>
        </is>
      </c>
    </row>
    <row r="197" ht="14" customHeight="1">
      <c r="A197" s="39" t="n">
        <v>196</v>
      </c>
      <c r="B197" s="40" t="inlineStr">
        <is>
          <t>YIB2815</t>
        </is>
      </c>
      <c r="C197" s="40" t="inlineStr">
        <is>
          <t>DP-SPL-4003</t>
        </is>
      </c>
      <c r="D197" s="41" t="inlineStr">
        <is>
          <t>AS</t>
        </is>
      </c>
      <c r="E197" s="40" t="inlineStr"/>
      <c r="F197" s="40" t="inlineStr"/>
      <c r="G197" s="40" t="inlineStr"/>
      <c r="H197" s="39" t="n">
        <v>4</v>
      </c>
      <c r="I197" s="40" t="inlineStr">
        <is>
          <t>12 Jul 2025</t>
        </is>
      </c>
      <c r="J197" s="40" t="inlineStr">
        <is>
          <t>17 Jul 2025</t>
        </is>
      </c>
      <c r="K197" s="39" t="n">
        <v>5</v>
      </c>
      <c r="L197" s="38" t="inlineStr">
        <is>
          <t>Yes</t>
        </is>
      </c>
      <c r="M197" s="40" t="inlineStr"/>
      <c r="N197" s="40" t="inlineStr">
        <is>
          <t>AGM</t>
        </is>
      </c>
    </row>
    <row r="198" ht="14" customHeight="1">
      <c r="A198" s="35" t="n">
        <v>197</v>
      </c>
      <c r="B198" s="36" t="inlineStr"/>
      <c r="C198" s="36" t="inlineStr"/>
      <c r="D198" s="37" t="inlineStr">
        <is>
          <t>FWS</t>
        </is>
      </c>
      <c r="E198" s="36" t="inlineStr"/>
      <c r="F198" s="36" t="inlineStr"/>
      <c r="G198" s="36" t="inlineStr"/>
      <c r="H198" s="35" t="n">
        <v>7</v>
      </c>
      <c r="I198" s="36" t="inlineStr">
        <is>
          <t>12 Jul 2025</t>
        </is>
      </c>
      <c r="J198" s="36" t="inlineStr">
        <is>
          <t>20 Jan 2026</t>
        </is>
      </c>
      <c r="K198" s="35" t="n">
        <v>192</v>
      </c>
      <c r="L198" s="38" t="inlineStr">
        <is>
          <t>Yes</t>
        </is>
      </c>
      <c r="M198" s="36" t="inlineStr"/>
      <c r="N198" s="36" t="inlineStr">
        <is>
          <t>AGM</t>
        </is>
      </c>
    </row>
    <row r="199" ht="14" customHeight="1">
      <c r="A199" s="39" t="n">
        <v>198</v>
      </c>
      <c r="B199" s="40" t="inlineStr"/>
      <c r="C199" s="40" t="inlineStr">
        <is>
          <t>DP-PSU-7357</t>
        </is>
      </c>
      <c r="D199" s="41" t="inlineStr">
        <is>
          <t>AS</t>
        </is>
      </c>
      <c r="E199" s="40" t="inlineStr"/>
      <c r="F199" s="40" t="inlineStr"/>
      <c r="G199" s="40" t="inlineStr"/>
      <c r="H199" s="39" t="n">
        <v>1</v>
      </c>
      <c r="I199" s="40" t="inlineStr">
        <is>
          <t>22 Dec 2025</t>
        </is>
      </c>
      <c r="J199" s="40" t="inlineStr">
        <is>
          <t>22 Dec 2025</t>
        </is>
      </c>
      <c r="K199" s="39" t="n">
        <v>0</v>
      </c>
      <c r="L199" s="38" t="inlineStr">
        <is>
          <t>Yes</t>
        </is>
      </c>
      <c r="M199" s="40" t="inlineStr"/>
      <c r="N199" s="40" t="inlineStr">
        <is>
          <t>AGM</t>
        </is>
      </c>
    </row>
    <row r="200" ht="14" customHeight="1">
      <c r="A200" s="35" t="n">
        <v>199</v>
      </c>
      <c r="B200" s="36" t="inlineStr"/>
      <c r="C200" s="36" t="inlineStr"/>
      <c r="D200" s="37" t="inlineStr">
        <is>
          <t>FWS</t>
        </is>
      </c>
      <c r="E200" s="36" t="inlineStr"/>
      <c r="F200" s="36" t="inlineStr"/>
      <c r="G200" s="36" t="inlineStr"/>
      <c r="H200" s="35" t="n">
        <v>1</v>
      </c>
      <c r="I200" s="36" t="inlineStr">
        <is>
          <t>22 Dec 2025</t>
        </is>
      </c>
      <c r="J200" s="36" t="inlineStr">
        <is>
          <t>22 Dec 2025</t>
        </is>
      </c>
      <c r="K200" s="35" t="n">
        <v>0</v>
      </c>
      <c r="L200" s="38" t="inlineStr">
        <is>
          <t>Yes</t>
        </is>
      </c>
      <c r="M200" s="36" t="inlineStr"/>
      <c r="N200" s="36" t="inlineStr">
        <is>
          <t>AGM</t>
        </is>
      </c>
    </row>
    <row r="201" ht="14" customHeight="1">
      <c r="A201" s="39" t="n">
        <v>200</v>
      </c>
      <c r="B201" s="40" t="inlineStr"/>
      <c r="C201" s="40" t="inlineStr">
        <is>
          <t>DP-PSU-8287</t>
        </is>
      </c>
      <c r="D201" s="41" t="inlineStr">
        <is>
          <t>AS</t>
        </is>
      </c>
      <c r="E201" s="40" t="inlineStr"/>
      <c r="F201" s="40" t="inlineStr"/>
      <c r="G201" s="40" t="inlineStr"/>
      <c r="H201" s="39" t="n">
        <v>0</v>
      </c>
      <c r="I201" s="40" t="inlineStr">
        <is>
          <t>-</t>
        </is>
      </c>
      <c r="J201" s="40" t="inlineStr">
        <is>
          <t>-</t>
        </is>
      </c>
      <c r="K201" s="39" t="inlineStr"/>
      <c r="L201" s="42" t="inlineStr">
        <is>
          <t>No</t>
        </is>
      </c>
      <c r="M201" s="40" t="inlineStr"/>
      <c r="N201" s="40" t="inlineStr">
        <is>
          <t>AGM</t>
        </is>
      </c>
    </row>
    <row r="202" ht="14" customHeight="1">
      <c r="A202" s="35" t="n">
        <v>201</v>
      </c>
      <c r="B202" s="36" t="inlineStr"/>
      <c r="C202" s="36" t="inlineStr"/>
      <c r="D202" s="37" t="inlineStr">
        <is>
          <t>FWS</t>
        </is>
      </c>
      <c r="E202" s="36" t="inlineStr"/>
      <c r="F202" s="36" t="inlineStr"/>
      <c r="G202" s="36" t="inlineStr"/>
      <c r="H202" s="35" t="n">
        <v>0</v>
      </c>
      <c r="I202" s="36" t="inlineStr">
        <is>
          <t>-</t>
        </is>
      </c>
      <c r="J202" s="36" t="inlineStr">
        <is>
          <t>-</t>
        </is>
      </c>
      <c r="K202" s="35" t="inlineStr"/>
      <c r="L202" s="42" t="inlineStr">
        <is>
          <t>No</t>
        </is>
      </c>
      <c r="M202" s="36" t="inlineStr"/>
      <c r="N202" s="36" t="inlineStr">
        <is>
          <t>AGM</t>
        </is>
      </c>
    </row>
    <row r="203" ht="14" customHeight="1">
      <c r="A203" s="39" t="n">
        <v>202</v>
      </c>
      <c r="B203" s="40" t="inlineStr">
        <is>
          <t>YEB2986</t>
        </is>
      </c>
      <c r="C203" s="40" t="inlineStr">
        <is>
          <t>DP-SPL-5452</t>
        </is>
      </c>
      <c r="D203" s="41" t="inlineStr">
        <is>
          <t>AS</t>
        </is>
      </c>
      <c r="E203" s="40" t="inlineStr"/>
      <c r="F203" s="40" t="inlineStr">
        <is>
          <t>Testing</t>
        </is>
      </c>
      <c r="G203" s="40" t="inlineStr">
        <is>
          <t>Testing</t>
        </is>
      </c>
      <c r="H203" s="39" t="n">
        <v>3</v>
      </c>
      <c r="I203" s="40" t="inlineStr">
        <is>
          <t>1 Jan 2026</t>
        </is>
      </c>
      <c r="J203" s="40" t="inlineStr">
        <is>
          <t>12 Feb 2026</t>
        </is>
      </c>
      <c r="K203" s="39" t="n">
        <v>42</v>
      </c>
      <c r="L203" s="38" t="inlineStr">
        <is>
          <t>Yes</t>
        </is>
      </c>
      <c r="M203" s="40" t="inlineStr"/>
      <c r="N203" s="40" t="inlineStr">
        <is>
          <t>AGM</t>
        </is>
      </c>
    </row>
    <row r="204" ht="14" customHeight="1">
      <c r="A204" s="35" t="n">
        <v>203</v>
      </c>
      <c r="B204" s="36" t="inlineStr"/>
      <c r="C204" s="36" t="inlineStr"/>
      <c r="D204" s="37" t="inlineStr">
        <is>
          <t>FWS</t>
        </is>
      </c>
      <c r="E204" s="36" t="inlineStr"/>
      <c r="F204" s="36" t="inlineStr"/>
      <c r="G204" s="36" t="inlineStr"/>
      <c r="H204" s="35" t="n">
        <v>4</v>
      </c>
      <c r="I204" s="36" t="inlineStr">
        <is>
          <t>1 Jan 2026</t>
        </is>
      </c>
      <c r="J204" s="36" t="inlineStr">
        <is>
          <t>12 Feb 2026</t>
        </is>
      </c>
      <c r="K204" s="35" t="n">
        <v>42</v>
      </c>
      <c r="L204" s="38" t="inlineStr">
        <is>
          <t>Yes</t>
        </is>
      </c>
      <c r="M204" s="36" t="inlineStr"/>
      <c r="N204" s="36" t="inlineStr">
        <is>
          <t>AGM</t>
        </is>
      </c>
    </row>
    <row r="205" ht="14" customHeight="1">
      <c r="A205" s="39" t="n">
        <v>204</v>
      </c>
      <c r="B205" s="40" t="inlineStr"/>
      <c r="C205" s="40" t="inlineStr">
        <is>
          <t>DP-VPX-3611</t>
        </is>
      </c>
      <c r="D205" s="41" t="inlineStr">
        <is>
          <t>AS</t>
        </is>
      </c>
      <c r="E205" s="40" t="inlineStr"/>
      <c r="F205" s="40" t="inlineStr">
        <is>
          <t>Dropped</t>
        </is>
      </c>
      <c r="G205" s="40" t="inlineStr">
        <is>
          <t>Dropped</t>
        </is>
      </c>
      <c r="H205" s="39" t="n">
        <v>1</v>
      </c>
      <c r="I205" s="40" t="inlineStr">
        <is>
          <t>9 Dec 2025</t>
        </is>
      </c>
      <c r="J205" s="40" t="inlineStr">
        <is>
          <t>9 Dec 2025</t>
        </is>
      </c>
      <c r="K205" s="39" t="n">
        <v>0</v>
      </c>
      <c r="L205" s="38" t="inlineStr">
        <is>
          <t>Yes</t>
        </is>
      </c>
      <c r="M205" s="40" t="inlineStr"/>
      <c r="N205" s="40" t="inlineStr">
        <is>
          <t>AGM</t>
        </is>
      </c>
    </row>
    <row r="206" ht="14" customHeight="1">
      <c r="A206" s="35" t="n">
        <v>205</v>
      </c>
      <c r="B206" s="36" t="inlineStr"/>
      <c r="C206" s="36" t="inlineStr"/>
      <c r="D206" s="37" t="inlineStr">
        <is>
          <t>FWS</t>
        </is>
      </c>
      <c r="E206" s="36" t="inlineStr"/>
      <c r="F206" s="36" t="inlineStr"/>
      <c r="G206" s="36" t="inlineStr"/>
      <c r="H206" s="35" t="n">
        <v>1</v>
      </c>
      <c r="I206" s="36" t="inlineStr">
        <is>
          <t>9 Dec 2025</t>
        </is>
      </c>
      <c r="J206" s="36" t="inlineStr">
        <is>
          <t>9 Dec 2025</t>
        </is>
      </c>
      <c r="K206" s="35" t="n">
        <v>0</v>
      </c>
      <c r="L206" s="38" t="inlineStr">
        <is>
          <t>Yes</t>
        </is>
      </c>
      <c r="M206" s="36" t="inlineStr"/>
      <c r="N206" s="36" t="inlineStr">
        <is>
          <t>AGM</t>
        </is>
      </c>
    </row>
    <row r="207" ht="14" customHeight="1">
      <c r="A207" s="39" t="n">
        <v>206</v>
      </c>
      <c r="B207" s="40" t="inlineStr">
        <is>
          <t>YEB2929</t>
        </is>
      </c>
      <c r="C207" s="40" t="inlineStr">
        <is>
          <t>DP-RDR-8314</t>
        </is>
      </c>
      <c r="D207" s="41" t="inlineStr">
        <is>
          <t>WPR AS</t>
        </is>
      </c>
      <c r="E207" s="40" t="inlineStr"/>
      <c r="F207" s="40" t="inlineStr">
        <is>
          <t>Testing</t>
        </is>
      </c>
      <c r="G207" s="40" t="inlineStr">
        <is>
          <t>Testing</t>
        </is>
      </c>
      <c r="H207" s="39" t="n">
        <v>60</v>
      </c>
      <c r="I207" s="40" t="inlineStr">
        <is>
          <t>25 Feb 2025</t>
        </is>
      </c>
      <c r="J207" s="40" t="inlineStr">
        <is>
          <t>6 Aug 2025</t>
        </is>
      </c>
      <c r="K207" s="39" t="n">
        <v>162</v>
      </c>
      <c r="L207" s="38" t="inlineStr">
        <is>
          <t>Yes</t>
        </is>
      </c>
      <c r="M207" s="40" t="inlineStr"/>
      <c r="N207" s="40" t="inlineStr">
        <is>
          <t>AGM</t>
        </is>
      </c>
    </row>
    <row r="208" ht="14" customHeight="1">
      <c r="A208" s="35" t="n">
        <v>207</v>
      </c>
      <c r="B208" s="36" t="inlineStr"/>
      <c r="C208" s="36" t="inlineStr">
        <is>
          <t>DP-SPL-7183</t>
        </is>
      </c>
      <c r="D208" s="37" t="inlineStr">
        <is>
          <t>TRM AS</t>
        </is>
      </c>
      <c r="E208" s="36" t="inlineStr"/>
      <c r="F208" s="36" t="inlineStr">
        <is>
          <t>Hold</t>
        </is>
      </c>
      <c r="G208" s="36" t="inlineStr">
        <is>
          <t>Hold</t>
        </is>
      </c>
      <c r="H208" s="35" t="n">
        <v>2</v>
      </c>
      <c r="I208" s="36" t="inlineStr">
        <is>
          <t>4 Jun 2025</t>
        </is>
      </c>
      <c r="J208" s="36" t="inlineStr">
        <is>
          <t>13 Jun 2025</t>
        </is>
      </c>
      <c r="K208" s="35" t="n">
        <v>9</v>
      </c>
      <c r="L208" s="38" t="inlineStr">
        <is>
          <t>Yes</t>
        </is>
      </c>
      <c r="M208" s="36" t="inlineStr"/>
      <c r="N208" s="36" t="inlineStr">
        <is>
          <t>AGM</t>
        </is>
      </c>
    </row>
    <row r="209" ht="14" customHeight="1">
      <c r="A209" s="39" t="n">
        <v>208</v>
      </c>
      <c r="B209" s="40" t="inlineStr">
        <is>
          <t>YEC2708</t>
        </is>
      </c>
      <c r="C209" s="40" t="inlineStr">
        <is>
          <t>DP-COM-8031-630</t>
        </is>
      </c>
      <c r="D209" s="41" t="inlineStr">
        <is>
          <t>L-Band FWS</t>
        </is>
      </c>
      <c r="E209" s="40" t="inlineStr"/>
      <c r="F209" s="40" t="inlineStr">
        <is>
          <t>Implementation</t>
        </is>
      </c>
      <c r="G209" s="40" t="inlineStr">
        <is>
          <t>Implementation</t>
        </is>
      </c>
      <c r="H209" s="39" t="n">
        <v>5</v>
      </c>
      <c r="I209" s="40" t="inlineStr">
        <is>
          <t>13 Jun 2025</t>
        </is>
      </c>
      <c r="J209" s="40" t="inlineStr">
        <is>
          <t>20 Jan 2026</t>
        </is>
      </c>
      <c r="K209" s="39" t="n">
        <v>221</v>
      </c>
      <c r="L209" s="38" t="inlineStr">
        <is>
          <t>Yes</t>
        </is>
      </c>
      <c r="M209" s="40" t="inlineStr"/>
      <c r="N209" s="40" t="inlineStr">
        <is>
          <t>AGM</t>
        </is>
      </c>
    </row>
    <row r="210" ht="14" customHeight="1">
      <c r="A210" s="35" t="n">
        <v>209</v>
      </c>
      <c r="B210" s="36" t="inlineStr"/>
      <c r="C210" s="36" t="inlineStr"/>
      <c r="D210" s="37" t="inlineStr">
        <is>
          <t>UHF FWS</t>
        </is>
      </c>
      <c r="E210" s="36" t="inlineStr"/>
      <c r="F210" s="36" t="inlineStr"/>
      <c r="G210" s="36" t="inlineStr"/>
      <c r="H210" s="35" t="n">
        <v>6</v>
      </c>
      <c r="I210" s="36" t="inlineStr">
        <is>
          <t>13 Jun 2025</t>
        </is>
      </c>
      <c r="J210" s="36" t="inlineStr">
        <is>
          <t>20 Jan 2026</t>
        </is>
      </c>
      <c r="K210" s="35" t="n">
        <v>221</v>
      </c>
      <c r="L210" s="38" t="inlineStr">
        <is>
          <t>Yes</t>
        </is>
      </c>
      <c r="M210" s="36" t="inlineStr"/>
      <c r="N210" s="36" t="inlineStr">
        <is>
          <t>AGM</t>
        </is>
      </c>
    </row>
    <row r="211" ht="14" customHeight="1">
      <c r="A211" s="39" t="n">
        <v>210</v>
      </c>
      <c r="B211" s="40" t="inlineStr"/>
      <c r="C211" s="40" t="inlineStr">
        <is>
          <t>DP-COM-8031-633</t>
        </is>
      </c>
      <c r="D211" s="41" t="inlineStr">
        <is>
          <t>L-Band FWS</t>
        </is>
      </c>
      <c r="E211" s="40" t="inlineStr"/>
      <c r="F211" s="40" t="inlineStr"/>
      <c r="G211" s="40" t="inlineStr"/>
      <c r="H211" s="39" t="n">
        <v>3</v>
      </c>
      <c r="I211" s="40" t="inlineStr">
        <is>
          <t>13 Jun 2025</t>
        </is>
      </c>
      <c r="J211" s="40" t="inlineStr">
        <is>
          <t>22 Sep 2025</t>
        </is>
      </c>
      <c r="K211" s="39" t="n">
        <v>101</v>
      </c>
      <c r="L211" s="38" t="inlineStr">
        <is>
          <t>Yes</t>
        </is>
      </c>
      <c r="M211" s="40" t="inlineStr"/>
      <c r="N211" s="40" t="inlineStr">
        <is>
          <t>AGM</t>
        </is>
      </c>
    </row>
    <row r="212" ht="14" customHeight="1">
      <c r="A212" s="35" t="n">
        <v>211</v>
      </c>
      <c r="B212" s="36" t="inlineStr"/>
      <c r="C212" s="36" t="inlineStr"/>
      <c r="D212" s="37" t="inlineStr">
        <is>
          <t>UHF FWS</t>
        </is>
      </c>
      <c r="E212" s="36" t="inlineStr"/>
      <c r="F212" s="36" t="inlineStr"/>
      <c r="G212" s="36" t="inlineStr"/>
      <c r="H212" s="35" t="n">
        <v>1</v>
      </c>
      <c r="I212" s="36" t="inlineStr">
        <is>
          <t>13 Jun 2025</t>
        </is>
      </c>
      <c r="J212" s="36" t="inlineStr">
        <is>
          <t>13 Jun 2025</t>
        </is>
      </c>
      <c r="K212" s="35" t="n">
        <v>0</v>
      </c>
      <c r="L212" s="42" t="inlineStr">
        <is>
          <t>No</t>
        </is>
      </c>
      <c r="M212" s="36" t="inlineStr"/>
      <c r="N212" s="36" t="inlineStr">
        <is>
          <t>AGM</t>
        </is>
      </c>
    </row>
    <row r="213" ht="14" customHeight="1">
      <c r="A213" s="39" t="n">
        <v>212</v>
      </c>
      <c r="B213" s="40" t="inlineStr">
        <is>
          <t>YIC2835</t>
        </is>
      </c>
      <c r="C213" s="40" t="inlineStr">
        <is>
          <t>DP-TRM-8030</t>
        </is>
      </c>
      <c r="D213" s="41" t="inlineStr">
        <is>
          <t>AS</t>
        </is>
      </c>
      <c r="E213" s="40" t="inlineStr"/>
      <c r="F213" s="40" t="inlineStr"/>
      <c r="G213" s="40" t="inlineStr"/>
      <c r="H213" s="39" t="n">
        <v>1</v>
      </c>
      <c r="I213" s="40" t="inlineStr">
        <is>
          <t>9 Dec 2025</t>
        </is>
      </c>
      <c r="J213" s="40" t="inlineStr">
        <is>
          <t>9 Dec 2025</t>
        </is>
      </c>
      <c r="K213" s="39" t="n">
        <v>0</v>
      </c>
      <c r="L213" s="42" t="inlineStr">
        <is>
          <t>No</t>
        </is>
      </c>
      <c r="M213" s="40" t="inlineStr"/>
      <c r="N213" s="40" t="inlineStr">
        <is>
          <t>AGM</t>
        </is>
      </c>
    </row>
    <row r="214" ht="14" customHeight="1">
      <c r="A214" s="35" t="n">
        <v>213</v>
      </c>
      <c r="B214" s="36" t="inlineStr"/>
      <c r="C214" s="36" t="inlineStr"/>
      <c r="D214" s="37" t="inlineStr">
        <is>
          <t>FWS</t>
        </is>
      </c>
      <c r="E214" s="36" t="inlineStr"/>
      <c r="F214" s="36" t="inlineStr"/>
      <c r="G214" s="36" t="inlineStr"/>
      <c r="H214" s="35" t="n">
        <v>1</v>
      </c>
      <c r="I214" s="36" t="inlineStr">
        <is>
          <t>9 Dec 2025</t>
        </is>
      </c>
      <c r="J214" s="36" t="inlineStr">
        <is>
          <t>9 Dec 2025</t>
        </is>
      </c>
      <c r="K214" s="35" t="n">
        <v>0</v>
      </c>
      <c r="L214" s="42" t="inlineStr">
        <is>
          <t>No</t>
        </is>
      </c>
      <c r="M214" s="36" t="inlineStr"/>
      <c r="N214" s="36" t="inlineStr">
        <is>
          <t>AGM</t>
        </is>
      </c>
    </row>
    <row r="215" ht="14" customHeight="1">
      <c r="A215" s="39" t="n">
        <v>214</v>
      </c>
      <c r="B215" s="40" t="inlineStr">
        <is>
          <t>YIB2842</t>
        </is>
      </c>
      <c r="C215" s="40" t="inlineStr"/>
      <c r="D215" s="41" t="inlineStr"/>
      <c r="E215" s="40" t="inlineStr"/>
      <c r="F215" s="40" t="inlineStr">
        <is>
          <t>Requirements</t>
        </is>
      </c>
      <c r="G215" s="40" t="inlineStr">
        <is>
          <t>Requirements</t>
        </is>
      </c>
      <c r="H215" s="39" t="n">
        <v>0</v>
      </c>
      <c r="I215" s="40" t="inlineStr">
        <is>
          <t>-</t>
        </is>
      </c>
      <c r="J215" s="40" t="inlineStr">
        <is>
          <t>-</t>
        </is>
      </c>
      <c r="K215" s="39" t="inlineStr"/>
      <c r="L215" s="42" t="inlineStr">
        <is>
          <t>No</t>
        </is>
      </c>
      <c r="M215" s="40" t="inlineStr"/>
      <c r="N215" s="40" t="inlineStr">
        <is>
          <t>AGM</t>
        </is>
      </c>
    </row>
    <row r="216" ht="14" customHeight="1">
      <c r="A216" s="35" t="n">
        <v>215</v>
      </c>
      <c r="B216" s="36" t="inlineStr">
        <is>
          <t>YEA2846</t>
        </is>
      </c>
      <c r="C216" s="36" t="inlineStr">
        <is>
          <t>DP-ROM-8036</t>
        </is>
      </c>
      <c r="D216" s="37" t="inlineStr">
        <is>
          <t>AS</t>
        </is>
      </c>
      <c r="E216" s="36" t="inlineStr"/>
      <c r="F216" s="36" t="inlineStr">
        <is>
          <t>Testing</t>
        </is>
      </c>
      <c r="G216" s="36" t="inlineStr">
        <is>
          <t>Testing</t>
        </is>
      </c>
      <c r="H216" s="35" t="n">
        <v>2</v>
      </c>
      <c r="I216" s="36" t="inlineStr">
        <is>
          <t>1 Jan 2026</t>
        </is>
      </c>
      <c r="J216" s="36" t="inlineStr">
        <is>
          <t>12 Feb 2026</t>
        </is>
      </c>
      <c r="K216" s="35" t="n">
        <v>42</v>
      </c>
      <c r="L216" s="38" t="inlineStr">
        <is>
          <t>Yes</t>
        </is>
      </c>
      <c r="M216" s="36" t="inlineStr"/>
      <c r="N216" s="36" t="inlineStr">
        <is>
          <t>AGM</t>
        </is>
      </c>
    </row>
    <row r="217" ht="14" customHeight="1">
      <c r="A217" s="39" t="n">
        <v>217</v>
      </c>
      <c r="B217" s="40" t="inlineStr">
        <is>
          <t>YEC2826</t>
        </is>
      </c>
      <c r="C217" s="40" t="inlineStr">
        <is>
          <t>DP-CRF-7556 PLL</t>
        </is>
      </c>
      <c r="D217" s="41" t="inlineStr">
        <is>
          <t>AS</t>
        </is>
      </c>
      <c r="E217" s="40" t="inlineStr"/>
      <c r="F217" s="40" t="inlineStr">
        <is>
          <t>Testing</t>
        </is>
      </c>
      <c r="G217" s="40" t="inlineStr">
        <is>
          <t>Testing</t>
        </is>
      </c>
      <c r="H217" s="39" t="n">
        <v>2</v>
      </c>
      <c r="I217" s="40" t="inlineStr">
        <is>
          <t>1 Oct 2025</t>
        </is>
      </c>
      <c r="J217" s="40" t="inlineStr">
        <is>
          <t>10 Feb 2026</t>
        </is>
      </c>
      <c r="K217" s="39" t="n">
        <v>132</v>
      </c>
      <c r="L217" s="38" t="inlineStr">
        <is>
          <t>Yes</t>
        </is>
      </c>
      <c r="M217" s="40" t="inlineStr"/>
      <c r="N217" s="40" t="inlineStr">
        <is>
          <t>AGM</t>
        </is>
      </c>
    </row>
    <row r="218" ht="14" customHeight="1">
      <c r="A218" s="35" t="n">
        <v>218</v>
      </c>
      <c r="B218" s="36" t="inlineStr"/>
      <c r="C218" s="36" t="inlineStr"/>
      <c r="D218" s="37" t="inlineStr">
        <is>
          <t>FWS</t>
        </is>
      </c>
      <c r="E218" s="36" t="inlineStr"/>
      <c r="F218" s="36" t="inlineStr"/>
      <c r="G218" s="36" t="inlineStr"/>
      <c r="H218" s="35" t="n">
        <v>2</v>
      </c>
      <c r="I218" s="36" t="inlineStr">
        <is>
          <t>1 Oct 2025</t>
        </is>
      </c>
      <c r="J218" s="36" t="inlineStr">
        <is>
          <t>10 Feb 2026</t>
        </is>
      </c>
      <c r="K218" s="35" t="n">
        <v>132</v>
      </c>
      <c r="L218" s="38" t="inlineStr">
        <is>
          <t>Yes</t>
        </is>
      </c>
      <c r="M218" s="36" t="inlineStr"/>
      <c r="N218" s="36" t="inlineStr">
        <is>
          <t>AGM</t>
        </is>
      </c>
    </row>
    <row r="219" ht="14" customHeight="1">
      <c r="A219" s="39" t="n">
        <v>219</v>
      </c>
      <c r="B219" s="40" t="inlineStr">
        <is>
          <t>YEA2930</t>
        </is>
      </c>
      <c r="C219" s="40" t="inlineStr">
        <is>
          <t>DP-CRF-2213</t>
        </is>
      </c>
      <c r="D219" s="41" t="inlineStr">
        <is>
          <t>AS</t>
        </is>
      </c>
      <c r="E219" s="40" t="inlineStr"/>
      <c r="F219" s="40" t="inlineStr">
        <is>
          <t>Completed</t>
        </is>
      </c>
      <c r="G219" s="40" t="inlineStr">
        <is>
          <t>Completed</t>
        </is>
      </c>
      <c r="H219" s="39" t="n">
        <v>7</v>
      </c>
      <c r="I219" s="40" t="inlineStr">
        <is>
          <t>10 Dec 2025</t>
        </is>
      </c>
      <c r="J219" s="40" t="inlineStr">
        <is>
          <t>20 Jan 2026</t>
        </is>
      </c>
      <c r="K219" s="39" t="n">
        <v>41</v>
      </c>
      <c r="L219" s="38" t="inlineStr">
        <is>
          <t>Yes</t>
        </is>
      </c>
      <c r="M219" s="40" t="inlineStr"/>
      <c r="N219" s="40" t="inlineStr">
        <is>
          <t>AGM</t>
        </is>
      </c>
    </row>
    <row r="220" ht="14" customHeight="1">
      <c r="A220" s="35" t="n">
        <v>220</v>
      </c>
      <c r="B220" s="36" t="inlineStr"/>
      <c r="C220" s="36" t="inlineStr"/>
      <c r="D220" s="37" t="inlineStr">
        <is>
          <t>FWS</t>
        </is>
      </c>
      <c r="E220" s="36" t="inlineStr"/>
      <c r="F220" s="36" t="inlineStr"/>
      <c r="G220" s="36" t="inlineStr"/>
      <c r="H220" s="35" t="n">
        <v>2</v>
      </c>
      <c r="I220" s="36" t="inlineStr">
        <is>
          <t>10 Dec 2025</t>
        </is>
      </c>
      <c r="J220" s="36" t="inlineStr">
        <is>
          <t>22 Dec 2025</t>
        </is>
      </c>
      <c r="K220" s="35" t="n">
        <v>12</v>
      </c>
      <c r="L220" s="38" t="inlineStr">
        <is>
          <t>Yes</t>
        </is>
      </c>
      <c r="M220" s="36" t="inlineStr"/>
      <c r="N220" s="36" t="inlineStr">
        <is>
          <t>AGM</t>
        </is>
      </c>
    </row>
    <row r="221" ht="14" customHeight="1">
      <c r="A221" s="39" t="n">
        <v>221</v>
      </c>
      <c r="B221" s="40" t="inlineStr"/>
      <c r="C221" s="40" t="inlineStr">
        <is>
          <t>DP-CRF-2519</t>
        </is>
      </c>
      <c r="D221" s="41" t="inlineStr">
        <is>
          <t>AS</t>
        </is>
      </c>
      <c r="E221" s="40" t="inlineStr"/>
      <c r="F221" s="40" t="inlineStr"/>
      <c r="G221" s="40" t="inlineStr"/>
      <c r="H221" s="39" t="n">
        <v>2</v>
      </c>
      <c r="I221" s="40" t="inlineStr">
        <is>
          <t>9 Dec 2025</t>
        </is>
      </c>
      <c r="J221" s="40" t="inlineStr">
        <is>
          <t>15 Dec 2025</t>
        </is>
      </c>
      <c r="K221" s="39" t="n">
        <v>6</v>
      </c>
      <c r="L221" s="38" t="inlineStr">
        <is>
          <t>Yes</t>
        </is>
      </c>
      <c r="M221" s="40" t="inlineStr"/>
      <c r="N221" s="40" t="inlineStr">
        <is>
          <t>AGM</t>
        </is>
      </c>
    </row>
    <row r="222" ht="14" customHeight="1">
      <c r="A222" s="35" t="n">
        <v>222</v>
      </c>
      <c r="B222" s="36" t="inlineStr"/>
      <c r="C222" s="36" t="inlineStr"/>
      <c r="D222" s="37" t="inlineStr">
        <is>
          <t>FWS</t>
        </is>
      </c>
      <c r="E222" s="36" t="inlineStr"/>
      <c r="F222" s="36" t="inlineStr"/>
      <c r="G222" s="36" t="inlineStr"/>
      <c r="H222" s="35" t="n">
        <v>2</v>
      </c>
      <c r="I222" s="36" t="inlineStr">
        <is>
          <t>9 Dec 2025</t>
        </is>
      </c>
      <c r="J222" s="36" t="inlineStr">
        <is>
          <t>15 Dec 2025</t>
        </is>
      </c>
      <c r="K222" s="35" t="n">
        <v>6</v>
      </c>
      <c r="L222" s="38" t="inlineStr">
        <is>
          <t>Yes</t>
        </is>
      </c>
      <c r="M222" s="36" t="inlineStr"/>
      <c r="N222" s="36" t="inlineStr">
        <is>
          <t>AGM</t>
        </is>
      </c>
    </row>
    <row r="223" ht="14" customHeight="1">
      <c r="A223" s="39" t="n">
        <v>223</v>
      </c>
      <c r="B223" s="40" t="inlineStr"/>
      <c r="C223" s="40" t="inlineStr">
        <is>
          <t>DP-CRF-5366</t>
        </is>
      </c>
      <c r="D223" s="41" t="inlineStr">
        <is>
          <t>AS</t>
        </is>
      </c>
      <c r="E223" s="40" t="inlineStr"/>
      <c r="F223" s="40" t="inlineStr"/>
      <c r="G223" s="40" t="inlineStr"/>
      <c r="H223" s="39" t="n">
        <v>5</v>
      </c>
      <c r="I223" s="40" t="inlineStr">
        <is>
          <t>10 Dec 2025</t>
        </is>
      </c>
      <c r="J223" s="40" t="inlineStr">
        <is>
          <t>20 Jan 2026</t>
        </is>
      </c>
      <c r="K223" s="39" t="n">
        <v>41</v>
      </c>
      <c r="L223" s="38" t="inlineStr">
        <is>
          <t>Yes</t>
        </is>
      </c>
      <c r="M223" s="40" t="inlineStr"/>
      <c r="N223" s="40" t="inlineStr">
        <is>
          <t>AGM</t>
        </is>
      </c>
    </row>
    <row r="224" ht="14" customHeight="1">
      <c r="A224" s="35" t="n">
        <v>224</v>
      </c>
      <c r="B224" s="36" t="inlineStr"/>
      <c r="C224" s="36" t="inlineStr"/>
      <c r="D224" s="37" t="inlineStr">
        <is>
          <t>FWS</t>
        </is>
      </c>
      <c r="E224" s="36" t="inlineStr"/>
      <c r="F224" s="36" t="inlineStr"/>
      <c r="G224" s="36" t="inlineStr"/>
      <c r="H224" s="35" t="n">
        <v>5</v>
      </c>
      <c r="I224" s="36" t="inlineStr">
        <is>
          <t>10 Dec 2025</t>
        </is>
      </c>
      <c r="J224" s="36" t="inlineStr">
        <is>
          <t>20 Jan 2026</t>
        </is>
      </c>
      <c r="K224" s="35" t="n">
        <v>41</v>
      </c>
      <c r="L224" s="38" t="inlineStr">
        <is>
          <t>Yes</t>
        </is>
      </c>
      <c r="M224" s="36" t="inlineStr"/>
      <c r="N224" s="36" t="inlineStr">
        <is>
          <t>AGM</t>
        </is>
      </c>
    </row>
    <row r="225" ht="14" customHeight="1">
      <c r="A225" s="39" t="n">
        <v>225</v>
      </c>
      <c r="B225" s="40" t="inlineStr"/>
      <c r="C225" s="40" t="inlineStr">
        <is>
          <t>DP-CRF-5369</t>
        </is>
      </c>
      <c r="D225" s="41" t="inlineStr">
        <is>
          <t>AS</t>
        </is>
      </c>
      <c r="E225" s="40" t="inlineStr"/>
      <c r="F225" s="40" t="inlineStr"/>
      <c r="G225" s="40" t="inlineStr"/>
      <c r="H225" s="39" t="n">
        <v>2</v>
      </c>
      <c r="I225" s="40" t="inlineStr">
        <is>
          <t>10 Dec 2025</t>
        </is>
      </c>
      <c r="J225" s="40" t="inlineStr">
        <is>
          <t>15 Dec 2025</t>
        </is>
      </c>
      <c r="K225" s="39" t="n">
        <v>5</v>
      </c>
      <c r="L225" s="38" t="inlineStr">
        <is>
          <t>Yes</t>
        </is>
      </c>
      <c r="M225" s="40" t="inlineStr"/>
      <c r="N225" s="40" t="inlineStr">
        <is>
          <t>AGM</t>
        </is>
      </c>
    </row>
    <row r="226" ht="14" customHeight="1">
      <c r="A226" s="35" t="n">
        <v>226</v>
      </c>
      <c r="B226" s="36" t="inlineStr"/>
      <c r="C226" s="36" t="inlineStr"/>
      <c r="D226" s="37" t="inlineStr">
        <is>
          <t>FWS</t>
        </is>
      </c>
      <c r="E226" s="36" t="inlineStr"/>
      <c r="F226" s="36" t="inlineStr"/>
      <c r="G226" s="36" t="inlineStr"/>
      <c r="H226" s="35" t="n">
        <v>2</v>
      </c>
      <c r="I226" s="36" t="inlineStr">
        <is>
          <t>10 Dec 2025</t>
        </is>
      </c>
      <c r="J226" s="36" t="inlineStr">
        <is>
          <t>15 Dec 2025</t>
        </is>
      </c>
      <c r="K226" s="35" t="n">
        <v>5</v>
      </c>
      <c r="L226" s="38" t="inlineStr">
        <is>
          <t>Yes</t>
        </is>
      </c>
      <c r="M226" s="36" t="inlineStr"/>
      <c r="N226" s="36" t="inlineStr">
        <is>
          <t>AGM</t>
        </is>
      </c>
    </row>
    <row r="227" ht="14" customHeight="1">
      <c r="A227" s="39" t="n">
        <v>227</v>
      </c>
      <c r="B227" s="40" t="inlineStr">
        <is>
          <t>YEA2612</t>
        </is>
      </c>
      <c r="C227" s="40" t="inlineStr">
        <is>
          <t>DP-EW-8002-699</t>
        </is>
      </c>
      <c r="D227" s="41" t="inlineStr">
        <is>
          <t>AS</t>
        </is>
      </c>
      <c r="E227" s="40" t="inlineStr"/>
      <c r="F227" s="40" t="inlineStr">
        <is>
          <t>Completed</t>
        </is>
      </c>
      <c r="G227" s="40" t="inlineStr">
        <is>
          <t>Completed</t>
        </is>
      </c>
      <c r="H227" s="39" t="n">
        <v>6</v>
      </c>
      <c r="I227" s="40" t="inlineStr">
        <is>
          <t>20 Nov 2025</t>
        </is>
      </c>
      <c r="J227" s="40" t="inlineStr">
        <is>
          <t>10 Oct 2025</t>
        </is>
      </c>
      <c r="K227" s="39" t="n">
        <v>-41</v>
      </c>
      <c r="L227" s="38" t="inlineStr">
        <is>
          <t>Yes</t>
        </is>
      </c>
      <c r="M227" s="40" t="inlineStr"/>
      <c r="N227" s="40" t="inlineStr">
        <is>
          <t>AGM</t>
        </is>
      </c>
    </row>
    <row r="228" ht="14" customHeight="1">
      <c r="A228" s="35" t="n">
        <v>228</v>
      </c>
      <c r="B228" s="36" t="inlineStr"/>
      <c r="C228" s="36" t="inlineStr"/>
      <c r="D228" s="37" t="inlineStr">
        <is>
          <t>FWS</t>
        </is>
      </c>
      <c r="E228" s="36" t="inlineStr"/>
      <c r="F228" s="36" t="inlineStr"/>
      <c r="G228" s="36" t="inlineStr"/>
      <c r="H228" s="35" t="n">
        <v>7</v>
      </c>
      <c r="I228" s="36" t="inlineStr">
        <is>
          <t>15 Nov 2025</t>
        </is>
      </c>
      <c r="J228" s="36" t="inlineStr">
        <is>
          <t>8 Oct 2025</t>
        </is>
      </c>
      <c r="K228" s="35" t="n">
        <v>-38</v>
      </c>
      <c r="L228" s="38" t="inlineStr">
        <is>
          <t>Yes</t>
        </is>
      </c>
      <c r="M228" s="36" t="inlineStr"/>
      <c r="N228" s="36" t="inlineStr">
        <is>
          <t>AGM</t>
        </is>
      </c>
    </row>
    <row r="229" ht="14" customHeight="1">
      <c r="A229" s="39" t="n">
        <v>229</v>
      </c>
      <c r="B229" s="40" t="inlineStr">
        <is>
          <t>YEB2787</t>
        </is>
      </c>
      <c r="C229" s="40" t="inlineStr">
        <is>
          <t>DP-EW-8002-630</t>
        </is>
      </c>
      <c r="D229" s="41" t="inlineStr">
        <is>
          <t>AS</t>
        </is>
      </c>
      <c r="E229" s="40" t="inlineStr"/>
      <c r="F229" s="40" t="inlineStr">
        <is>
          <t>Completed</t>
        </is>
      </c>
      <c r="G229" s="40" t="inlineStr">
        <is>
          <t>Completed</t>
        </is>
      </c>
      <c r="H229" s="39" t="n">
        <v>4</v>
      </c>
      <c r="I229" s="40" t="inlineStr">
        <is>
          <t>2 Aug 2025</t>
        </is>
      </c>
      <c r="J229" s="40" t="inlineStr">
        <is>
          <t>3 Sep 2025</t>
        </is>
      </c>
      <c r="K229" s="39" t="n">
        <v>32</v>
      </c>
      <c r="L229" s="38" t="inlineStr">
        <is>
          <t>Yes</t>
        </is>
      </c>
      <c r="M229" s="40" t="inlineStr"/>
      <c r="N229" s="40" t="inlineStr">
        <is>
          <t>AGM</t>
        </is>
      </c>
    </row>
    <row r="230" ht="14" customHeight="1">
      <c r="A230" s="35" t="n">
        <v>230</v>
      </c>
      <c r="B230" s="36" t="inlineStr"/>
      <c r="C230" s="36" t="inlineStr"/>
      <c r="D230" s="37" t="inlineStr">
        <is>
          <t>FWS</t>
        </is>
      </c>
      <c r="E230" s="36" t="inlineStr"/>
      <c r="F230" s="36" t="inlineStr"/>
      <c r="G230" s="36" t="inlineStr"/>
      <c r="H230" s="35" t="n">
        <v>6</v>
      </c>
      <c r="I230" s="36" t="inlineStr">
        <is>
          <t>2 Aug 2025</t>
        </is>
      </c>
      <c r="J230" s="36" t="inlineStr">
        <is>
          <t>3 Sep 2025</t>
        </is>
      </c>
      <c r="K230" s="35" t="n">
        <v>32</v>
      </c>
      <c r="L230" s="38" t="inlineStr">
        <is>
          <t>Yes</t>
        </is>
      </c>
      <c r="M230" s="36" t="inlineStr"/>
      <c r="N230" s="36" t="inlineStr">
        <is>
          <t>AGM</t>
        </is>
      </c>
    </row>
    <row r="231" ht="14" customHeight="1">
      <c r="A231" s="39" t="n">
        <v>231</v>
      </c>
      <c r="B231" s="40" t="inlineStr">
        <is>
          <t>YIA2891</t>
        </is>
      </c>
      <c r="C231" s="40" t="inlineStr">
        <is>
          <t>-</t>
        </is>
      </c>
      <c r="D231" s="41" t="inlineStr">
        <is>
          <t>-</t>
        </is>
      </c>
      <c r="E231" s="40" t="inlineStr"/>
      <c r="F231" s="40" t="inlineStr">
        <is>
          <t>Old Project</t>
        </is>
      </c>
      <c r="G231" s="40" t="inlineStr">
        <is>
          <t>Old Project</t>
        </is>
      </c>
      <c r="H231" s="39" t="n">
        <v>0</v>
      </c>
      <c r="I231" s="40" t="inlineStr">
        <is>
          <t>-</t>
        </is>
      </c>
      <c r="J231" s="40" t="inlineStr">
        <is>
          <t>-</t>
        </is>
      </c>
      <c r="K231" s="39" t="inlineStr"/>
      <c r="L231" s="42" t="inlineStr">
        <is>
          <t>-</t>
        </is>
      </c>
      <c r="M231" s="40" t="inlineStr"/>
      <c r="N231" s="40" t="inlineStr">
        <is>
          <t>AGM</t>
        </is>
      </c>
    </row>
    <row r="232" ht="14" customHeight="1">
      <c r="A232" s="35" t="n">
        <v>232</v>
      </c>
      <c r="B232" s="36" t="inlineStr">
        <is>
          <t>YEC2793</t>
        </is>
      </c>
      <c r="C232" s="36" t="inlineStr">
        <is>
          <t>-</t>
        </is>
      </c>
      <c r="D232" s="37" t="inlineStr">
        <is>
          <t>-</t>
        </is>
      </c>
      <c r="E232" s="36" t="inlineStr"/>
      <c r="F232" s="36" t="inlineStr">
        <is>
          <t>Old Project</t>
        </is>
      </c>
      <c r="G232" s="36" t="inlineStr">
        <is>
          <t>Old Project</t>
        </is>
      </c>
      <c r="H232" s="35" t="n">
        <v>0</v>
      </c>
      <c r="I232" s="36" t="inlineStr">
        <is>
          <t>-</t>
        </is>
      </c>
      <c r="J232" s="36" t="inlineStr">
        <is>
          <t>-</t>
        </is>
      </c>
      <c r="K232" s="35" t="inlineStr"/>
      <c r="L232" s="42" t="inlineStr">
        <is>
          <t>-</t>
        </is>
      </c>
      <c r="M232" s="36" t="inlineStr"/>
      <c r="N232" s="36" t="inlineStr">
        <is>
          <t>AGM</t>
        </is>
      </c>
    </row>
    <row r="233" ht="14" customHeight="1">
      <c r="A233" s="39" t="n">
        <v>233</v>
      </c>
      <c r="B233" s="40" t="inlineStr">
        <is>
          <t>YIC2871</t>
        </is>
      </c>
      <c r="C233" s="40" t="inlineStr">
        <is>
          <t>-</t>
        </is>
      </c>
      <c r="D233" s="41" t="inlineStr">
        <is>
          <t>-</t>
        </is>
      </c>
      <c r="E233" s="40" t="inlineStr"/>
      <c r="F233" s="40" t="inlineStr">
        <is>
          <t>Requirements</t>
        </is>
      </c>
      <c r="G233" s="40" t="inlineStr">
        <is>
          <t>Requirements</t>
        </is>
      </c>
      <c r="H233" s="39" t="n">
        <v>0</v>
      </c>
      <c r="I233" s="40" t="inlineStr">
        <is>
          <t>-</t>
        </is>
      </c>
      <c r="J233" s="40" t="inlineStr">
        <is>
          <t>-</t>
        </is>
      </c>
      <c r="K233" s="39" t="inlineStr"/>
      <c r="L233" s="42" t="inlineStr">
        <is>
          <t>-</t>
        </is>
      </c>
      <c r="M233" s="40" t="inlineStr"/>
      <c r="N233" s="40" t="inlineStr">
        <is>
          <t>AGM</t>
        </is>
      </c>
    </row>
    <row r="234" ht="14" customHeight="1">
      <c r="A234" s="35" t="n">
        <v>234</v>
      </c>
      <c r="B234" s="36" t="inlineStr">
        <is>
          <t>YEB3031</t>
        </is>
      </c>
      <c r="C234" s="36" t="inlineStr">
        <is>
          <t>-</t>
        </is>
      </c>
      <c r="D234" s="37" t="inlineStr">
        <is>
          <t>-</t>
        </is>
      </c>
      <c r="E234" s="36" t="inlineStr"/>
      <c r="F234" s="36" t="inlineStr">
        <is>
          <t>Requirements</t>
        </is>
      </c>
      <c r="G234" s="36" t="inlineStr">
        <is>
          <t>Requirements</t>
        </is>
      </c>
      <c r="H234" s="35" t="n">
        <v>0</v>
      </c>
      <c r="I234" s="36" t="inlineStr">
        <is>
          <t>-</t>
        </is>
      </c>
      <c r="J234" s="36" t="inlineStr">
        <is>
          <t>-</t>
        </is>
      </c>
      <c r="K234" s="35" t="inlineStr"/>
      <c r="L234" s="42" t="inlineStr">
        <is>
          <t>-</t>
        </is>
      </c>
      <c r="M234" s="36" t="inlineStr"/>
      <c r="N234" s="36" t="inlineStr">
        <is>
          <t>AGM</t>
        </is>
      </c>
    </row>
    <row r="235" ht="14" customHeight="1">
      <c r="A235" s="39" t="n">
        <v>235</v>
      </c>
      <c r="B235" s="40" t="inlineStr">
        <is>
          <t>YIC2814</t>
        </is>
      </c>
      <c r="C235" s="40" t="inlineStr">
        <is>
          <t>-</t>
        </is>
      </c>
      <c r="D235" s="41" t="inlineStr">
        <is>
          <t>-</t>
        </is>
      </c>
      <c r="E235" s="40" t="inlineStr"/>
      <c r="F235" s="40" t="inlineStr">
        <is>
          <t>Old Project</t>
        </is>
      </c>
      <c r="G235" s="40" t="inlineStr">
        <is>
          <t>Old Project</t>
        </is>
      </c>
      <c r="H235" s="39" t="n">
        <v>0</v>
      </c>
      <c r="I235" s="40" t="inlineStr">
        <is>
          <t>-</t>
        </is>
      </c>
      <c r="J235" s="40" t="inlineStr">
        <is>
          <t>-</t>
        </is>
      </c>
      <c r="K235" s="39" t="inlineStr"/>
      <c r="L235" s="42" t="inlineStr">
        <is>
          <t>-</t>
        </is>
      </c>
      <c r="M235" s="40" t="inlineStr"/>
      <c r="N235" s="40" t="inlineStr">
        <is>
          <t>AGM</t>
        </is>
      </c>
    </row>
    <row r="236" ht="14" customHeight="1">
      <c r="A236" s="35" t="n">
        <v>236</v>
      </c>
      <c r="B236" s="36" t="inlineStr">
        <is>
          <t>YEB3103</t>
        </is>
      </c>
      <c r="C236" s="36" t="inlineStr">
        <is>
          <t>-</t>
        </is>
      </c>
      <c r="D236" s="37" t="inlineStr">
        <is>
          <t>-</t>
        </is>
      </c>
      <c r="E236" s="36" t="inlineStr"/>
      <c r="F236" s="36" t="inlineStr">
        <is>
          <t>Not Started</t>
        </is>
      </c>
      <c r="G236" s="36" t="inlineStr">
        <is>
          <t>Not Started</t>
        </is>
      </c>
      <c r="H236" s="35" t="n">
        <v>0</v>
      </c>
      <c r="I236" s="36" t="inlineStr">
        <is>
          <t>-</t>
        </is>
      </c>
      <c r="J236" s="36" t="inlineStr">
        <is>
          <t>-</t>
        </is>
      </c>
      <c r="K236" s="35" t="inlineStr"/>
      <c r="L236" s="42" t="inlineStr">
        <is>
          <t>-</t>
        </is>
      </c>
      <c r="M236" s="36" t="inlineStr"/>
      <c r="N236" s="36" t="inlineStr">
        <is>
          <t>AGM</t>
        </is>
      </c>
    </row>
    <row r="237" ht="14" customHeight="1">
      <c r="A237" s="39" t="n">
        <v>237</v>
      </c>
      <c r="B237" s="40" t="inlineStr">
        <is>
          <t>YIC2665</t>
        </is>
      </c>
      <c r="C237" s="40" t="inlineStr">
        <is>
          <t>DP-ESM-1095-600-AIDF</t>
        </is>
      </c>
      <c r="D237" s="41" t="inlineStr">
        <is>
          <t>AS</t>
        </is>
      </c>
      <c r="E237" s="40" t="inlineStr"/>
      <c r="F237" s="40" t="inlineStr">
        <is>
          <t>Completed</t>
        </is>
      </c>
      <c r="G237" s="40" t="inlineStr">
        <is>
          <t>Completed</t>
        </is>
      </c>
      <c r="H237" s="39" t="n">
        <v>1</v>
      </c>
      <c r="I237" s="40" t="inlineStr">
        <is>
          <t>5 Dec 2025</t>
        </is>
      </c>
      <c r="J237" s="40" t="inlineStr">
        <is>
          <t>5 Dec 2025</t>
        </is>
      </c>
      <c r="K237" s="39" t="n">
        <v>0</v>
      </c>
      <c r="L237" s="38" t="inlineStr">
        <is>
          <t>Yes</t>
        </is>
      </c>
      <c r="M237" s="40" t="inlineStr"/>
      <c r="N237" s="40" t="inlineStr">
        <is>
          <t>AGM</t>
        </is>
      </c>
    </row>
    <row r="238" ht="14" customHeight="1">
      <c r="A238" s="35" t="n">
        <v>238</v>
      </c>
      <c r="B238" s="36" t="inlineStr"/>
      <c r="C238" s="36" t="inlineStr"/>
      <c r="D238" s="37" t="inlineStr">
        <is>
          <t>FWS</t>
        </is>
      </c>
      <c r="E238" s="36" t="inlineStr"/>
      <c r="F238" s="36" t="inlineStr"/>
      <c r="G238" s="36" t="inlineStr"/>
      <c r="H238" s="35" t="n">
        <v>1</v>
      </c>
      <c r="I238" s="36" t="inlineStr">
        <is>
          <t>5 Dec 2025</t>
        </is>
      </c>
      <c r="J238" s="36" t="inlineStr">
        <is>
          <t>5 Dec 2025</t>
        </is>
      </c>
      <c r="K238" s="35" t="n">
        <v>0</v>
      </c>
      <c r="L238" s="38" t="inlineStr">
        <is>
          <t>Yes</t>
        </is>
      </c>
      <c r="M238" s="36" t="inlineStr"/>
      <c r="N238" s="36" t="inlineStr">
        <is>
          <t>AGM</t>
        </is>
      </c>
    </row>
    <row r="239" ht="14" customHeight="1">
      <c r="A239" s="39" t="n">
        <v>239</v>
      </c>
      <c r="B239" s="40" t="inlineStr"/>
      <c r="C239" s="40" t="inlineStr">
        <is>
          <t>DP-ESM-1095-603-MIDF</t>
        </is>
      </c>
      <c r="D239" s="41" t="inlineStr">
        <is>
          <t>AS</t>
        </is>
      </c>
      <c r="E239" s="40" t="inlineStr"/>
      <c r="F239" s="40" t="inlineStr"/>
      <c r="G239" s="40" t="inlineStr"/>
      <c r="H239" s="39" t="n">
        <v>1</v>
      </c>
      <c r="I239" s="40" t="inlineStr">
        <is>
          <t>5 Dec 2025</t>
        </is>
      </c>
      <c r="J239" s="40" t="inlineStr">
        <is>
          <t>5 Dec 2025</t>
        </is>
      </c>
      <c r="K239" s="39" t="n">
        <v>0</v>
      </c>
      <c r="L239" s="38" t="inlineStr">
        <is>
          <t>Yes</t>
        </is>
      </c>
      <c r="M239" s="40" t="inlineStr"/>
      <c r="N239" s="40" t="inlineStr">
        <is>
          <t>AGM</t>
        </is>
      </c>
    </row>
    <row r="240" ht="14" customHeight="1">
      <c r="A240" s="35" t="n">
        <v>240</v>
      </c>
      <c r="B240" s="36" t="inlineStr"/>
      <c r="C240" s="36" t="inlineStr"/>
      <c r="D240" s="37" t="inlineStr">
        <is>
          <t>FWS</t>
        </is>
      </c>
      <c r="E240" s="36" t="inlineStr"/>
      <c r="F240" s="36" t="inlineStr"/>
      <c r="G240" s="36" t="inlineStr"/>
      <c r="H240" s="35" t="n">
        <v>1</v>
      </c>
      <c r="I240" s="36" t="inlineStr">
        <is>
          <t>5 Dec 2025</t>
        </is>
      </c>
      <c r="J240" s="36" t="inlineStr">
        <is>
          <t>5 Dec 2025</t>
        </is>
      </c>
      <c r="K240" s="35" t="n">
        <v>0</v>
      </c>
      <c r="L240" s="38" t="inlineStr">
        <is>
          <t>Yes</t>
        </is>
      </c>
      <c r="M240" s="36" t="inlineStr"/>
      <c r="N240" s="36" t="inlineStr">
        <is>
          <t>AGM</t>
        </is>
      </c>
    </row>
    <row r="241" ht="14" customHeight="1">
      <c r="A241" s="39" t="n">
        <v>241</v>
      </c>
      <c r="B241" s="40" t="inlineStr"/>
      <c r="C241" s="40" t="inlineStr">
        <is>
          <t>DP-ESM-1098-600-CFDF</t>
        </is>
      </c>
      <c r="D241" s="41" t="inlineStr">
        <is>
          <t>AS</t>
        </is>
      </c>
      <c r="E241" s="40" t="inlineStr"/>
      <c r="F241" s="40" t="inlineStr"/>
      <c r="G241" s="40" t="inlineStr"/>
      <c r="H241" s="39" t="n">
        <v>1</v>
      </c>
      <c r="I241" s="40" t="inlineStr">
        <is>
          <t>5 Dec 2025</t>
        </is>
      </c>
      <c r="J241" s="40" t="inlineStr">
        <is>
          <t>8 Dec 2025</t>
        </is>
      </c>
      <c r="K241" s="39" t="n">
        <v>3</v>
      </c>
      <c r="L241" s="38" t="inlineStr">
        <is>
          <t>Yes</t>
        </is>
      </c>
      <c r="M241" s="40" t="inlineStr"/>
      <c r="N241" s="40" t="inlineStr">
        <is>
          <t>AGM</t>
        </is>
      </c>
    </row>
    <row r="242" ht="14" customHeight="1">
      <c r="A242" s="35" t="n">
        <v>242</v>
      </c>
      <c r="B242" s="36" t="inlineStr"/>
      <c r="C242" s="36" t="inlineStr"/>
      <c r="D242" s="37" t="inlineStr">
        <is>
          <t>FWS</t>
        </is>
      </c>
      <c r="E242" s="36" t="inlineStr"/>
      <c r="F242" s="36" t="inlineStr"/>
      <c r="G242" s="36" t="inlineStr"/>
      <c r="H242" s="35" t="n">
        <v>1</v>
      </c>
      <c r="I242" s="36" t="inlineStr">
        <is>
          <t>5 Dec 2025</t>
        </is>
      </c>
      <c r="J242" s="36" t="inlineStr">
        <is>
          <t>8 Dec 2025</t>
        </is>
      </c>
      <c r="K242" s="35" t="n">
        <v>3</v>
      </c>
      <c r="L242" s="38" t="inlineStr">
        <is>
          <t>Yes</t>
        </is>
      </c>
      <c r="M242" s="36" t="inlineStr"/>
      <c r="N242" s="36" t="inlineStr">
        <is>
          <t>AGM</t>
        </is>
      </c>
    </row>
    <row r="243" ht="14" customHeight="1">
      <c r="A243" s="39" t="n">
        <v>243</v>
      </c>
      <c r="B243" s="40" t="inlineStr"/>
      <c r="C243" s="40" t="inlineStr">
        <is>
          <t>DP-ESM-1098-603-MRA</t>
        </is>
      </c>
      <c r="D243" s="41" t="inlineStr">
        <is>
          <t>AS</t>
        </is>
      </c>
      <c r="E243" s="40" t="inlineStr"/>
      <c r="F243" s="40" t="inlineStr"/>
      <c r="G243" s="40" t="inlineStr"/>
      <c r="H243" s="39" t="n">
        <v>1</v>
      </c>
      <c r="I243" s="40" t="inlineStr">
        <is>
          <t>5 Dec 2025</t>
        </is>
      </c>
      <c r="J243" s="40" t="inlineStr">
        <is>
          <t>8 Dec 2025</t>
        </is>
      </c>
      <c r="K243" s="39" t="n">
        <v>3</v>
      </c>
      <c r="L243" s="38" t="inlineStr">
        <is>
          <t>Yes</t>
        </is>
      </c>
      <c r="M243" s="40" t="inlineStr"/>
      <c r="N243" s="40" t="inlineStr">
        <is>
          <t>AGM</t>
        </is>
      </c>
    </row>
    <row r="244" ht="14" customHeight="1">
      <c r="A244" s="35" t="n">
        <v>244</v>
      </c>
      <c r="B244" s="36" t="inlineStr"/>
      <c r="C244" s="36" t="inlineStr"/>
      <c r="D244" s="37" t="inlineStr">
        <is>
          <t>FWS</t>
        </is>
      </c>
      <c r="E244" s="36" t="inlineStr"/>
      <c r="F244" s="36" t="inlineStr"/>
      <c r="G244" s="36" t="inlineStr"/>
      <c r="H244" s="35" t="n">
        <v>1</v>
      </c>
      <c r="I244" s="36" t="inlineStr">
        <is>
          <t>5 Dec 2025</t>
        </is>
      </c>
      <c r="J244" s="36" t="inlineStr">
        <is>
          <t>8 Dec 2025</t>
        </is>
      </c>
      <c r="K244" s="35" t="n">
        <v>3</v>
      </c>
      <c r="L244" s="38" t="inlineStr">
        <is>
          <t>Yes</t>
        </is>
      </c>
      <c r="M244" s="36" t="inlineStr"/>
      <c r="N244" s="36" t="inlineStr">
        <is>
          <t>AGM</t>
        </is>
      </c>
    </row>
    <row r="245" ht="14" customHeight="1">
      <c r="A245" s="39" t="n">
        <v>245</v>
      </c>
      <c r="B245" s="40" t="inlineStr">
        <is>
          <t>YEB2935</t>
        </is>
      </c>
      <c r="C245" s="40" t="inlineStr">
        <is>
          <t>DP-ESM-1212-6033-VUSHF-Mrx</t>
        </is>
      </c>
      <c r="D245" s="41" t="inlineStr">
        <is>
          <t>AS</t>
        </is>
      </c>
      <c r="E245" s="40" t="inlineStr"/>
      <c r="F245" s="40" t="inlineStr">
        <is>
          <t>Implementation</t>
        </is>
      </c>
      <c r="G245" s="40" t="inlineStr">
        <is>
          <t>Implementation</t>
        </is>
      </c>
      <c r="H245" s="39" t="n">
        <v>15</v>
      </c>
      <c r="I245" s="40" t="inlineStr">
        <is>
          <t>24 Jul 2025</t>
        </is>
      </c>
      <c r="J245" s="40" t="inlineStr">
        <is>
          <t>4 Feb 2026</t>
        </is>
      </c>
      <c r="K245" s="39" t="n">
        <v>195</v>
      </c>
      <c r="L245" s="38" t="inlineStr">
        <is>
          <t>Yes</t>
        </is>
      </c>
      <c r="M245" s="40" t="inlineStr"/>
      <c r="N245" s="40" t="inlineStr">
        <is>
          <t>AGM</t>
        </is>
      </c>
    </row>
    <row r="246" ht="14" customHeight="1">
      <c r="A246" s="35" t="n">
        <v>246</v>
      </c>
      <c r="B246" s="36" t="inlineStr"/>
      <c r="C246" s="36" t="inlineStr"/>
      <c r="D246" s="37" t="inlineStr">
        <is>
          <t>DS</t>
        </is>
      </c>
      <c r="E246" s="36" t="inlineStr"/>
      <c r="F246" s="36" t="inlineStr"/>
      <c r="G246" s="36" t="inlineStr"/>
      <c r="H246" s="35" t="n">
        <v>1</v>
      </c>
      <c r="I246" s="36" t="inlineStr">
        <is>
          <t>13 Aug 2025</t>
        </is>
      </c>
      <c r="J246" s="36" t="inlineStr">
        <is>
          <t>13 Aug 2025</t>
        </is>
      </c>
      <c r="K246" s="35" t="n">
        <v>0</v>
      </c>
      <c r="L246" s="38" t="inlineStr">
        <is>
          <t>Yes</t>
        </is>
      </c>
      <c r="M246" s="36" t="inlineStr"/>
      <c r="N246" s="36" t="inlineStr">
        <is>
          <t>AGM</t>
        </is>
      </c>
    </row>
    <row r="247" ht="14" customHeight="1">
      <c r="A247" s="39" t="n">
        <v>247</v>
      </c>
      <c r="B247" s="40" t="inlineStr"/>
      <c r="C247" s="40" t="inlineStr"/>
      <c r="D247" s="41" t="inlineStr">
        <is>
          <t>FWS</t>
        </is>
      </c>
      <c r="E247" s="40" t="inlineStr"/>
      <c r="F247" s="40" t="inlineStr"/>
      <c r="G247" s="40" t="inlineStr"/>
      <c r="H247" s="39" t="n">
        <v>15</v>
      </c>
      <c r="I247" s="40" t="inlineStr">
        <is>
          <t>9 Aug 2025</t>
        </is>
      </c>
      <c r="J247" s="40" t="inlineStr">
        <is>
          <t>9 Feb 2026</t>
        </is>
      </c>
      <c r="K247" s="39" t="n">
        <v>184</v>
      </c>
      <c r="L247" s="38" t="inlineStr">
        <is>
          <t>Yes</t>
        </is>
      </c>
      <c r="M247" s="40" t="inlineStr"/>
      <c r="N247" s="40" t="inlineStr">
        <is>
          <t>AGM</t>
        </is>
      </c>
    </row>
    <row r="248" ht="14" customHeight="1">
      <c r="A248" s="35" t="n">
        <v>248</v>
      </c>
      <c r="B248" s="36" t="inlineStr"/>
      <c r="C248" s="36" t="inlineStr">
        <is>
          <t>DP-ESM-1074-6000-VUSHF-RPE</t>
        </is>
      </c>
      <c r="D248" s="37" t="inlineStr">
        <is>
          <t>AS</t>
        </is>
      </c>
      <c r="E248" s="36" t="inlineStr"/>
      <c r="F248" s="36" t="inlineStr">
        <is>
          <t>Testing</t>
        </is>
      </c>
      <c r="G248" s="36" t="inlineStr">
        <is>
          <t>Testing</t>
        </is>
      </c>
      <c r="H248" s="35" t="n">
        <v>7</v>
      </c>
      <c r="I248" s="36" t="inlineStr">
        <is>
          <t>13 Aug 2025</t>
        </is>
      </c>
      <c r="J248" s="36" t="inlineStr">
        <is>
          <t>14 Feb 2026</t>
        </is>
      </c>
      <c r="K248" s="35" t="n">
        <v>185</v>
      </c>
      <c r="L248" s="38" t="inlineStr">
        <is>
          <t>Yes</t>
        </is>
      </c>
      <c r="M248" s="36" t="inlineStr"/>
      <c r="N248" s="36" t="inlineStr">
        <is>
          <t>AGM</t>
        </is>
      </c>
    </row>
    <row r="249" ht="14" customHeight="1">
      <c r="A249" s="39" t="n">
        <v>249</v>
      </c>
      <c r="B249" s="40" t="inlineStr"/>
      <c r="C249" s="40" t="inlineStr"/>
      <c r="D249" s="41" t="inlineStr">
        <is>
          <t>FWS</t>
        </is>
      </c>
      <c r="E249" s="40" t="inlineStr"/>
      <c r="F249" s="40" t="inlineStr"/>
      <c r="G249" s="40" t="inlineStr"/>
      <c r="H249" s="39" t="n">
        <v>8</v>
      </c>
      <c r="I249" s="40" t="inlineStr">
        <is>
          <t>13 Aug 2025</t>
        </is>
      </c>
      <c r="J249" s="40" t="inlineStr">
        <is>
          <t>14 Feb 2026</t>
        </is>
      </c>
      <c r="K249" s="39" t="n">
        <v>185</v>
      </c>
      <c r="L249" s="38" t="inlineStr">
        <is>
          <t>Yes</t>
        </is>
      </c>
      <c r="M249" s="40" t="inlineStr"/>
      <c r="N249" s="40" t="inlineStr">
        <is>
          <t>AGM</t>
        </is>
      </c>
    </row>
    <row r="250" ht="14" customHeight="1">
      <c r="A250" s="35" t="n">
        <v>250</v>
      </c>
      <c r="B250" s="36" t="inlineStr"/>
      <c r="C250" s="36" t="inlineStr"/>
      <c r="D250" s="37" t="inlineStr">
        <is>
          <t>DS</t>
        </is>
      </c>
      <c r="E250" s="36" t="inlineStr"/>
      <c r="F250" s="36" t="inlineStr"/>
      <c r="G250" s="36" t="inlineStr"/>
      <c r="H250" s="35" t="n">
        <v>3</v>
      </c>
      <c r="I250" s="36" t="inlineStr">
        <is>
          <t>13 Aug 2025</t>
        </is>
      </c>
      <c r="J250" s="36" t="inlineStr">
        <is>
          <t>31 Jan 2026</t>
        </is>
      </c>
      <c r="K250" s="35" t="n">
        <v>171</v>
      </c>
      <c r="L250" s="38" t="inlineStr">
        <is>
          <t>Yes</t>
        </is>
      </c>
      <c r="M250" s="36" t="inlineStr"/>
      <c r="N250" s="36" t="inlineStr">
        <is>
          <t>AGM</t>
        </is>
      </c>
    </row>
    <row r="251" ht="14" customHeight="1">
      <c r="A251" s="39" t="n">
        <v>251</v>
      </c>
      <c r="B251" s="40" t="inlineStr"/>
      <c r="C251" s="40" t="inlineStr"/>
      <c r="D251" s="41" t="inlineStr">
        <is>
          <t>AS</t>
        </is>
      </c>
      <c r="E251" s="40" t="inlineStr"/>
      <c r="F251" s="40" t="inlineStr">
        <is>
          <t>Implementation</t>
        </is>
      </c>
      <c r="G251" s="40" t="inlineStr">
        <is>
          <t>Implementation</t>
        </is>
      </c>
      <c r="H251" s="39" t="n">
        <v>1</v>
      </c>
      <c r="I251" s="40" t="inlineStr">
        <is>
          <t>2 Feb 2026</t>
        </is>
      </c>
      <c r="J251" s="40" t="inlineStr">
        <is>
          <t>2 Feb 2026</t>
        </is>
      </c>
      <c r="K251" s="39" t="n">
        <v>0</v>
      </c>
      <c r="L251" s="38" t="inlineStr">
        <is>
          <t>Yes</t>
        </is>
      </c>
      <c r="M251" s="40" t="inlineStr"/>
      <c r="N251" s="40" t="inlineStr">
        <is>
          <t>AGM</t>
        </is>
      </c>
    </row>
    <row r="252" ht="14" customHeight="1">
      <c r="A252" s="35" t="n">
        <v>252</v>
      </c>
      <c r="B252" s="36" t="inlineStr"/>
      <c r="C252" s="36" t="inlineStr"/>
      <c r="D252" s="37" t="inlineStr">
        <is>
          <t>FWS</t>
        </is>
      </c>
      <c r="E252" s="36" t="inlineStr"/>
      <c r="F252" s="36" t="inlineStr"/>
      <c r="G252" s="36" t="inlineStr"/>
      <c r="H252" s="35" t="n">
        <v>1</v>
      </c>
      <c r="I252" s="36" t="inlineStr">
        <is>
          <t>2 Feb 2026</t>
        </is>
      </c>
      <c r="J252" s="36" t="inlineStr">
        <is>
          <t>2 Feb 2026</t>
        </is>
      </c>
      <c r="K252" s="35" t="n">
        <v>0</v>
      </c>
      <c r="L252" s="38" t="inlineStr">
        <is>
          <t>Yes</t>
        </is>
      </c>
      <c r="M252" s="36" t="inlineStr"/>
      <c r="N252" s="36" t="inlineStr">
        <is>
          <t>AGM</t>
        </is>
      </c>
    </row>
    <row r="253" ht="14" customHeight="1">
      <c r="A253" s="39" t="n">
        <v>253</v>
      </c>
      <c r="B253" s="40" t="inlineStr"/>
      <c r="C253" s="40" t="inlineStr"/>
      <c r="D253" s="41" t="inlineStr">
        <is>
          <t>DS</t>
        </is>
      </c>
      <c r="E253" s="40" t="inlineStr"/>
      <c r="F253" s="40" t="inlineStr"/>
      <c r="G253" s="40" t="inlineStr"/>
      <c r="H253" s="39" t="n">
        <v>1</v>
      </c>
      <c r="I253" s="40" t="inlineStr">
        <is>
          <t>2 Feb 2026</t>
        </is>
      </c>
      <c r="J253" s="40" t="inlineStr">
        <is>
          <t>2 Feb 2026</t>
        </is>
      </c>
      <c r="K253" s="39" t="n">
        <v>0</v>
      </c>
      <c r="L253" s="38" t="inlineStr">
        <is>
          <t>Yes</t>
        </is>
      </c>
      <c r="M253" s="40" t="inlineStr"/>
      <c r="N253" s="40" t="inlineStr">
        <is>
          <t>AGM</t>
        </is>
      </c>
    </row>
    <row r="254" ht="14" customHeight="1">
      <c r="A254" s="35" t="n">
        <v>254</v>
      </c>
      <c r="B254" s="36" t="inlineStr"/>
      <c r="C254" s="36" t="inlineStr">
        <is>
          <t>DP-ESM-1073-6333-HF-RPE</t>
        </is>
      </c>
      <c r="D254" s="37" t="inlineStr">
        <is>
          <t>AS</t>
        </is>
      </c>
      <c r="E254" s="36" t="inlineStr"/>
      <c r="F254" s="36" t="inlineStr">
        <is>
          <t>Testing</t>
        </is>
      </c>
      <c r="G254" s="36" t="inlineStr">
        <is>
          <t>Testing</t>
        </is>
      </c>
      <c r="H254" s="35" t="n">
        <v>15</v>
      </c>
      <c r="I254" s="36" t="inlineStr">
        <is>
          <t>20 Aug 2025</t>
        </is>
      </c>
      <c r="J254" s="36" t="inlineStr">
        <is>
          <t>4 Feb 2026</t>
        </is>
      </c>
      <c r="K254" s="35" t="n">
        <v>168</v>
      </c>
      <c r="L254" s="38" t="inlineStr">
        <is>
          <t>Yes</t>
        </is>
      </c>
      <c r="M254" s="36" t="inlineStr"/>
      <c r="N254" s="36" t="inlineStr">
        <is>
          <t>AGM</t>
        </is>
      </c>
    </row>
    <row r="255" ht="14" customHeight="1">
      <c r="A255" s="39" t="n">
        <v>255</v>
      </c>
      <c r="B255" s="40" t="inlineStr"/>
      <c r="C255" s="40" t="inlineStr"/>
      <c r="D255" s="41" t="inlineStr">
        <is>
          <t>DS</t>
        </is>
      </c>
      <c r="E255" s="40" t="inlineStr"/>
      <c r="F255" s="40" t="inlineStr"/>
      <c r="G255" s="40" t="inlineStr"/>
      <c r="H255" s="39" t="n">
        <v>3</v>
      </c>
      <c r="I255" s="40" t="inlineStr">
        <is>
          <t>8 Aug 2025</t>
        </is>
      </c>
      <c r="J255" s="40" t="inlineStr">
        <is>
          <t>23 Jan 2026</t>
        </is>
      </c>
      <c r="K255" s="39" t="n">
        <v>168</v>
      </c>
      <c r="L255" s="38" t="inlineStr">
        <is>
          <t>Yes</t>
        </is>
      </c>
      <c r="M255" s="40" t="inlineStr"/>
      <c r="N255" s="40" t="inlineStr">
        <is>
          <t>AGM</t>
        </is>
      </c>
    </row>
    <row r="256" ht="14" customHeight="1">
      <c r="A256" s="35" t="n">
        <v>256</v>
      </c>
      <c r="B256" s="36" t="inlineStr"/>
      <c r="C256" s="36" t="inlineStr"/>
      <c r="D256" s="37" t="inlineStr">
        <is>
          <t>FWS1</t>
        </is>
      </c>
      <c r="E256" s="36" t="inlineStr"/>
      <c r="F256" s="36" t="inlineStr"/>
      <c r="G256" s="36" t="inlineStr"/>
      <c r="H256" s="35" t="n">
        <v>9</v>
      </c>
      <c r="I256" s="36" t="inlineStr">
        <is>
          <t>8 Aug 2025</t>
        </is>
      </c>
      <c r="J256" s="36" t="inlineStr">
        <is>
          <t>30 Jan 2026</t>
        </is>
      </c>
      <c r="K256" s="35" t="n">
        <v>175</v>
      </c>
      <c r="L256" s="38" t="inlineStr">
        <is>
          <t>Yes</t>
        </is>
      </c>
      <c r="M256" s="36" t="inlineStr"/>
      <c r="N256" s="36" t="inlineStr">
        <is>
          <t>AGM</t>
        </is>
      </c>
    </row>
    <row r="257" ht="14" customHeight="1">
      <c r="A257" s="39" t="n">
        <v>257</v>
      </c>
      <c r="B257" s="40" t="inlineStr"/>
      <c r="C257" s="40" t="inlineStr"/>
      <c r="D257" s="41" t="inlineStr">
        <is>
          <t>FWS2</t>
        </is>
      </c>
      <c r="E257" s="40" t="inlineStr"/>
      <c r="F257" s="40" t="inlineStr"/>
      <c r="G257" s="40" t="inlineStr"/>
      <c r="H257" s="39" t="n">
        <v>11</v>
      </c>
      <c r="I257" s="40" t="inlineStr">
        <is>
          <t>8 Aug 2025</t>
        </is>
      </c>
      <c r="J257" s="40" t="inlineStr">
        <is>
          <t>4 Feb 2026</t>
        </is>
      </c>
      <c r="K257" s="39" t="n">
        <v>180</v>
      </c>
      <c r="L257" s="38" t="inlineStr">
        <is>
          <t>Yes</t>
        </is>
      </c>
      <c r="M257" s="40" t="inlineStr"/>
      <c r="N257" s="40" t="inlineStr">
        <is>
          <t>AGM</t>
        </is>
      </c>
    </row>
    <row r="258" ht="14" customHeight="1">
      <c r="A258" s="35" t="n">
        <v>258</v>
      </c>
      <c r="B258" s="36" t="inlineStr">
        <is>
          <t>YEC2865</t>
        </is>
      </c>
      <c r="C258" s="36" t="inlineStr">
        <is>
          <t>DP-OBC-1149</t>
        </is>
      </c>
      <c r="D258" s="37" t="inlineStr">
        <is>
          <t>DP-OBC-1149-V1-01-AS-x86-WIN</t>
        </is>
      </c>
      <c r="E258" s="36" t="inlineStr">
        <is>
          <t>Madhusudhan Dangeti</t>
        </is>
      </c>
      <c r="F258" s="36" t="inlineStr">
        <is>
          <t>Completed</t>
        </is>
      </c>
      <c r="G258" s="36" t="inlineStr">
        <is>
          <t>Completed</t>
        </is>
      </c>
      <c r="H258" s="35" t="n">
        <v>34</v>
      </c>
      <c r="I258" s="36" t="inlineStr">
        <is>
          <t>10 Jun 2024</t>
        </is>
      </c>
      <c r="J258" s="36" t="inlineStr">
        <is>
          <t>9 Jan 2026</t>
        </is>
      </c>
      <c r="K258" s="35" t="n">
        <v>578</v>
      </c>
      <c r="L258" s="38" t="inlineStr">
        <is>
          <t>Yes</t>
        </is>
      </c>
      <c r="M258" s="36" t="inlineStr"/>
      <c r="N258" s="36" t="inlineStr">
        <is>
          <t>Application</t>
        </is>
      </c>
    </row>
    <row r="259" ht="14" customHeight="1">
      <c r="A259" s="39" t="n">
        <v>259</v>
      </c>
      <c r="B259" s="40" t="inlineStr"/>
      <c r="C259" s="40" t="inlineStr">
        <is>
          <t>DP-OBC-5028</t>
        </is>
      </c>
      <c r="D259" s="41" t="inlineStr">
        <is>
          <t>DP-OBC-5028-V1-01-AS-x86-WIN</t>
        </is>
      </c>
      <c r="E259" s="40" t="inlineStr"/>
      <c r="F259" s="40" t="inlineStr"/>
      <c r="G259" s="40" t="inlineStr"/>
      <c r="H259" s="39" t="n">
        <v>44</v>
      </c>
      <c r="I259" s="40" t="inlineStr">
        <is>
          <t>10 Jun 2024</t>
        </is>
      </c>
      <c r="J259" s="40" t="inlineStr">
        <is>
          <t>9 Jan 2026</t>
        </is>
      </c>
      <c r="K259" s="39" t="n">
        <v>578</v>
      </c>
      <c r="L259" s="38" t="inlineStr">
        <is>
          <t>Yes</t>
        </is>
      </c>
      <c r="M259" s="40" t="inlineStr"/>
      <c r="N259" s="40" t="inlineStr">
        <is>
          <t>Application</t>
        </is>
      </c>
    </row>
    <row r="260" ht="14" customHeight="1">
      <c r="A260" s="35" t="n">
        <v>260</v>
      </c>
      <c r="B260" s="36" t="inlineStr"/>
      <c r="C260" s="36" t="inlineStr">
        <is>
          <t>DP-OBC-3012</t>
        </is>
      </c>
      <c r="D260" s="37" t="inlineStr">
        <is>
          <t>DP-OBC-3012-V1-01-AS-x86-WIN</t>
        </is>
      </c>
      <c r="E260" s="36" t="inlineStr"/>
      <c r="F260" s="36" t="inlineStr"/>
      <c r="G260" s="36" t="inlineStr"/>
      <c r="H260" s="35" t="n">
        <v>12</v>
      </c>
      <c r="I260" s="36" t="inlineStr">
        <is>
          <t>7 Nov 2024</t>
        </is>
      </c>
      <c r="J260" s="36" t="inlineStr">
        <is>
          <t>9 Jan 2026</t>
        </is>
      </c>
      <c r="K260" s="35" t="n">
        <v>428</v>
      </c>
      <c r="L260" s="38" t="inlineStr">
        <is>
          <t>Yes</t>
        </is>
      </c>
      <c r="M260" s="36" t="inlineStr"/>
      <c r="N260" s="36" t="inlineStr">
        <is>
          <t>Application</t>
        </is>
      </c>
    </row>
    <row r="261" ht="14" customHeight="1">
      <c r="A261" s="39" t="n">
        <v>261</v>
      </c>
      <c r="B261" s="40" t="inlineStr"/>
      <c r="C261" s="40" t="inlineStr"/>
      <c r="D261" s="41" t="inlineStr">
        <is>
          <t>DP-OBC-3012-V1-01-FWS-ATSAMRH71F20C</t>
        </is>
      </c>
      <c r="E261" s="40" t="inlineStr"/>
      <c r="F261" s="40" t="inlineStr"/>
      <c r="G261" s="40" t="inlineStr"/>
      <c r="H261" s="39" t="n">
        <v>13</v>
      </c>
      <c r="I261" s="40" t="inlineStr">
        <is>
          <t>7 Nov 2024</t>
        </is>
      </c>
      <c r="J261" s="40" t="inlineStr">
        <is>
          <t>29 Nov 2025</t>
        </is>
      </c>
      <c r="K261" s="39" t="n">
        <v>387</v>
      </c>
      <c r="L261" s="38" t="inlineStr">
        <is>
          <t>Yes</t>
        </is>
      </c>
      <c r="M261" s="40" t="inlineStr"/>
      <c r="N261" s="40" t="inlineStr">
        <is>
          <t>Application</t>
        </is>
      </c>
    </row>
    <row r="262" ht="14" customHeight="1">
      <c r="A262" s="35" t="n">
        <v>262</v>
      </c>
      <c r="B262" s="36" t="inlineStr">
        <is>
          <t>YEA2776</t>
        </is>
      </c>
      <c r="C262" s="36" t="inlineStr">
        <is>
          <t>DP-COMM-8037</t>
        </is>
      </c>
      <c r="D262" s="37" t="inlineStr">
        <is>
          <t>DP-COMM-8037-02-V1-AS-X86-W7</t>
        </is>
      </c>
      <c r="E262" s="36" t="inlineStr">
        <is>
          <t>Mahesh K V</t>
        </is>
      </c>
      <c r="F262" s="36" t="inlineStr">
        <is>
          <t>Completed</t>
        </is>
      </c>
      <c r="G262" s="36" t="inlineStr">
        <is>
          <t>Completed</t>
        </is>
      </c>
      <c r="H262" s="35" t="n">
        <v>12</v>
      </c>
      <c r="I262" s="36" t="inlineStr">
        <is>
          <t>31 Oct 2025</t>
        </is>
      </c>
      <c r="J262" s="36" t="inlineStr">
        <is>
          <t>30 Dec 2025</t>
        </is>
      </c>
      <c r="K262" s="35" t="n">
        <v>60</v>
      </c>
      <c r="L262" s="38" t="inlineStr">
        <is>
          <t>Yes</t>
        </is>
      </c>
      <c r="M262" s="36" t="inlineStr"/>
      <c r="N262" s="36" t="inlineStr">
        <is>
          <t>Application</t>
        </is>
      </c>
    </row>
    <row r="263" ht="14" customHeight="1">
      <c r="A263" s="39" t="n">
        <v>263</v>
      </c>
      <c r="B263" s="40" t="inlineStr"/>
      <c r="C263" s="40" t="inlineStr"/>
      <c r="D263" s="41" t="inlineStr">
        <is>
          <t>DP-COMM-8037-02-V1-FWS-ARM-LINUX</t>
        </is>
      </c>
      <c r="E263" s="40" t="inlineStr"/>
      <c r="F263" s="40" t="inlineStr"/>
      <c r="G263" s="40" t="inlineStr"/>
      <c r="H263" s="39" t="n">
        <v>10</v>
      </c>
      <c r="I263" s="40" t="inlineStr">
        <is>
          <t>31 Oct 2025</t>
        </is>
      </c>
      <c r="J263" s="40" t="inlineStr">
        <is>
          <t>30 Dec 2025</t>
        </is>
      </c>
      <c r="K263" s="39" t="n">
        <v>60</v>
      </c>
      <c r="L263" s="38" t="inlineStr">
        <is>
          <t>Yes</t>
        </is>
      </c>
      <c r="M263" s="40" t="inlineStr"/>
      <c r="N263" s="40" t="inlineStr">
        <is>
          <t>Application</t>
        </is>
      </c>
    </row>
    <row r="264" ht="14" customHeight="1">
      <c r="A264" s="35" t="n">
        <v>264</v>
      </c>
      <c r="B264" s="36" t="inlineStr"/>
      <c r="C264" s="36" t="inlineStr">
        <is>
          <t>DP-CRF-5325</t>
        </is>
      </c>
      <c r="D264" s="37" t="inlineStr">
        <is>
          <t>DP-CRF-5325-V1-AS-X86-WIN</t>
        </is>
      </c>
      <c r="E264" s="36" t="inlineStr"/>
      <c r="F264" s="36" t="inlineStr"/>
      <c r="G264" s="36" t="inlineStr"/>
      <c r="H264" s="35" t="n">
        <v>24</v>
      </c>
      <c r="I264" s="36" t="inlineStr">
        <is>
          <t>4 Jun 2025</t>
        </is>
      </c>
      <c r="J264" s="36" t="inlineStr">
        <is>
          <t>6 Jan 2026</t>
        </is>
      </c>
      <c r="K264" s="35" t="n">
        <v>216</v>
      </c>
      <c r="L264" s="38" t="inlineStr">
        <is>
          <t>Yes</t>
        </is>
      </c>
      <c r="M264" s="36" t="inlineStr"/>
      <c r="N264" s="36" t="inlineStr">
        <is>
          <t>Application</t>
        </is>
      </c>
    </row>
    <row r="265" ht="14" customHeight="1">
      <c r="A265" s="39" t="n">
        <v>265</v>
      </c>
      <c r="B265" s="40" t="inlineStr"/>
      <c r="C265" s="40" t="inlineStr"/>
      <c r="D265" s="41" t="inlineStr">
        <is>
          <t>DP-CRF-5325-V1-FWS-ATSAMD51G19A</t>
        </is>
      </c>
      <c r="E265" s="40" t="inlineStr"/>
      <c r="F265" s="40" t="inlineStr"/>
      <c r="G265" s="40" t="inlineStr"/>
      <c r="H265" s="39" t="n">
        <v>16</v>
      </c>
      <c r="I265" s="40" t="inlineStr">
        <is>
          <t>29 Jan 2025</t>
        </is>
      </c>
      <c r="J265" s="40" t="inlineStr">
        <is>
          <t>24 Dec 2025</t>
        </is>
      </c>
      <c r="K265" s="39" t="n">
        <v>329</v>
      </c>
      <c r="L265" s="38" t="inlineStr">
        <is>
          <t>Yes</t>
        </is>
      </c>
      <c r="M265" s="40" t="inlineStr"/>
      <c r="N265" s="40" t="inlineStr">
        <is>
          <t>Application</t>
        </is>
      </c>
    </row>
    <row r="266" ht="14" customHeight="1">
      <c r="A266" s="35" t="n">
        <v>266</v>
      </c>
      <c r="B266" s="36" t="inlineStr">
        <is>
          <t>YEB2989</t>
        </is>
      </c>
      <c r="C266" s="36" t="inlineStr">
        <is>
          <t>DP-ECM-1074</t>
        </is>
      </c>
      <c r="D266" s="37" t="inlineStr">
        <is>
          <t>DP-ECM-1074-660-V1-AS-X86-WIN</t>
        </is>
      </c>
      <c r="E266" s="36" t="inlineStr">
        <is>
          <t>Arun Kumar B</t>
        </is>
      </c>
      <c r="F266" s="36" t="inlineStr">
        <is>
          <t>Requirement</t>
        </is>
      </c>
      <c r="G266" s="36" t="inlineStr">
        <is>
          <t>Requirement</t>
        </is>
      </c>
      <c r="H266" s="35" t="n">
        <v>1</v>
      </c>
      <c r="I266" s="36" t="inlineStr">
        <is>
          <t>11 Feb 2026</t>
        </is>
      </c>
      <c r="J266" s="36" t="inlineStr">
        <is>
          <t>11 Feb 2026</t>
        </is>
      </c>
      <c r="K266" s="35" t="n">
        <v>0</v>
      </c>
      <c r="L266" s="38" t="inlineStr">
        <is>
          <t>Yes</t>
        </is>
      </c>
      <c r="M266" s="36" t="inlineStr"/>
      <c r="N266" s="36" t="inlineStr">
        <is>
          <t>Application</t>
        </is>
      </c>
    </row>
    <row r="267" ht="14" customHeight="1">
      <c r="A267" s="39" t="n">
        <v>267</v>
      </c>
      <c r="B267" s="40" t="inlineStr"/>
      <c r="C267" s="40" t="inlineStr"/>
      <c r="D267" s="41" t="inlineStr">
        <is>
          <t>DP-ECM-1074-660-V1-DS-ARM64-LIN</t>
        </is>
      </c>
      <c r="E267" s="40" t="inlineStr"/>
      <c r="F267" s="40" t="inlineStr"/>
      <c r="G267" s="40" t="inlineStr"/>
      <c r="H267" s="39" t="n">
        <v>1</v>
      </c>
      <c r="I267" s="40" t="inlineStr">
        <is>
          <t>11 Feb 2026</t>
        </is>
      </c>
      <c r="J267" s="40" t="inlineStr">
        <is>
          <t>11 Feb 2026</t>
        </is>
      </c>
      <c r="K267" s="39" t="n">
        <v>0</v>
      </c>
      <c r="L267" s="38" t="inlineStr">
        <is>
          <t>Yes</t>
        </is>
      </c>
      <c r="M267" s="40" t="inlineStr"/>
      <c r="N267" s="40" t="inlineStr">
        <is>
          <t>Application</t>
        </is>
      </c>
    </row>
    <row r="268" ht="14" customHeight="1">
      <c r="A268" s="35" t="n">
        <v>268</v>
      </c>
      <c r="B268" s="36" t="inlineStr"/>
      <c r="C268" s="36" t="inlineStr"/>
      <c r="D268" s="37" t="inlineStr">
        <is>
          <t>DP-ECM-1074-660-V1-FWS-ARM64-LIN</t>
        </is>
      </c>
      <c r="E268" s="36" t="inlineStr"/>
      <c r="F268" s="36" t="inlineStr"/>
      <c r="G268" s="36" t="inlineStr"/>
      <c r="H268" s="35" t="n">
        <v>1</v>
      </c>
      <c r="I268" s="36" t="inlineStr">
        <is>
          <t>11 Feb 2026</t>
        </is>
      </c>
      <c r="J268" s="36" t="inlineStr">
        <is>
          <t>11 Feb 2026</t>
        </is>
      </c>
      <c r="K268" s="35" t="n">
        <v>0</v>
      </c>
      <c r="L268" s="38" t="inlineStr">
        <is>
          <t>Yes</t>
        </is>
      </c>
      <c r="M268" s="36" t="inlineStr"/>
      <c r="N268" s="36" t="inlineStr">
        <is>
          <t>Application</t>
        </is>
      </c>
    </row>
    <row r="269" ht="14" customHeight="1">
      <c r="A269" s="39" t="n">
        <v>269</v>
      </c>
      <c r="B269" s="40" t="inlineStr">
        <is>
          <t>YEA2588</t>
        </is>
      </c>
      <c r="C269" s="40" t="inlineStr">
        <is>
          <t>DP-EW-8014</t>
        </is>
      </c>
      <c r="D269" s="41" t="inlineStr">
        <is>
          <t>DP-EW-8014-660-V1-01-AS-X86-W7</t>
        </is>
      </c>
      <c r="E269" s="40" t="inlineStr">
        <is>
          <t>Venkatasalapathi K</t>
        </is>
      </c>
      <c r="F269" s="40" t="inlineStr">
        <is>
          <t>Completed</t>
        </is>
      </c>
      <c r="G269" s="40" t="inlineStr">
        <is>
          <t>Completed</t>
        </is>
      </c>
      <c r="H269" s="39" t="n">
        <v>1</v>
      </c>
      <c r="I269" s="40" t="inlineStr">
        <is>
          <t>5 Dec 2025</t>
        </is>
      </c>
      <c r="J269" s="40" t="inlineStr">
        <is>
          <t>5 Dec 2025</t>
        </is>
      </c>
      <c r="K269" s="39" t="n">
        <v>0</v>
      </c>
      <c r="L269" s="38" t="inlineStr">
        <is>
          <t>Yes</t>
        </is>
      </c>
      <c r="M269" s="40" t="inlineStr"/>
      <c r="N269" s="40" t="inlineStr">
        <is>
          <t>Application</t>
        </is>
      </c>
    </row>
    <row r="270" ht="14" customHeight="1">
      <c r="A270" s="35" t="n">
        <v>270</v>
      </c>
      <c r="B270" s="36" t="inlineStr"/>
      <c r="C270" s="36" t="inlineStr"/>
      <c r="D270" s="37" t="inlineStr">
        <is>
          <t>DP-EW-8014-660-V1-01-FWS-PPC-LX</t>
        </is>
      </c>
      <c r="E270" s="36" t="inlineStr"/>
      <c r="F270" s="36" t="inlineStr"/>
      <c r="G270" s="36" t="inlineStr"/>
      <c r="H270" s="35" t="n">
        <v>1</v>
      </c>
      <c r="I270" s="36" t="inlineStr">
        <is>
          <t>5 Dec 2025</t>
        </is>
      </c>
      <c r="J270" s="36" t="inlineStr">
        <is>
          <t>5 Dec 2025</t>
        </is>
      </c>
      <c r="K270" s="35" t="n">
        <v>0</v>
      </c>
      <c r="L270" s="38" t="inlineStr">
        <is>
          <t>Yes</t>
        </is>
      </c>
      <c r="M270" s="36" t="inlineStr"/>
      <c r="N270" s="36" t="inlineStr">
        <is>
          <t>Application</t>
        </is>
      </c>
    </row>
    <row r="271" ht="14" customHeight="1">
      <c r="A271" s="39" t="n">
        <v>271</v>
      </c>
      <c r="B271" s="40" t="inlineStr">
        <is>
          <t>YEA2255</t>
        </is>
      </c>
      <c r="C271" s="40" t="inlineStr"/>
      <c r="D271" s="41" t="inlineStr">
        <is>
          <t>YEA2255_UAV_AS</t>
        </is>
      </c>
      <c r="E271" s="40" t="inlineStr">
        <is>
          <t>Arun Kumar B</t>
        </is>
      </c>
      <c r="F271" s="40" t="inlineStr">
        <is>
          <t>Completed</t>
        </is>
      </c>
      <c r="G271" s="40" t="inlineStr">
        <is>
          <t>Completed</t>
        </is>
      </c>
      <c r="H271" s="39" t="n">
        <v>27</v>
      </c>
      <c r="I271" s="40" t="inlineStr">
        <is>
          <t>14 May 2025</t>
        </is>
      </c>
      <c r="J271" s="40" t="inlineStr">
        <is>
          <t>2 Feb 2026</t>
        </is>
      </c>
      <c r="K271" s="39" t="n">
        <v>264</v>
      </c>
      <c r="L271" s="38" t="inlineStr">
        <is>
          <t>Yes</t>
        </is>
      </c>
      <c r="M271" s="40" t="inlineStr"/>
      <c r="N271" s="40" t="inlineStr">
        <is>
          <t>Application</t>
        </is>
      </c>
    </row>
    <row r="272" ht="14" customHeight="1">
      <c r="A272" s="35" t="n">
        <v>272</v>
      </c>
      <c r="B272" s="36" t="inlineStr"/>
      <c r="C272" s="36" t="inlineStr"/>
      <c r="D272" s="37" t="inlineStr">
        <is>
          <t>YEA2255_UAV_FWS</t>
        </is>
      </c>
      <c r="E272" s="36" t="inlineStr"/>
      <c r="F272" s="36" t="inlineStr"/>
      <c r="G272" s="36" t="inlineStr"/>
      <c r="H272" s="35" t="n">
        <v>22</v>
      </c>
      <c r="I272" s="36" t="inlineStr">
        <is>
          <t>14 May 2025</t>
        </is>
      </c>
      <c r="J272" s="36" t="inlineStr">
        <is>
          <t>2 Feb 2026</t>
        </is>
      </c>
      <c r="K272" s="35" t="n">
        <v>264</v>
      </c>
      <c r="L272" s="38" t="inlineStr">
        <is>
          <t>Yes</t>
        </is>
      </c>
      <c r="M272" s="36" t="inlineStr"/>
      <c r="N272" s="36" t="inlineStr">
        <is>
          <t>Application</t>
        </is>
      </c>
    </row>
    <row r="273" ht="14" customHeight="1">
      <c r="A273" s="39" t="n">
        <v>273</v>
      </c>
      <c r="B273" s="40" t="inlineStr">
        <is>
          <t>YEA2255</t>
        </is>
      </c>
      <c r="C273" s="40" t="inlineStr"/>
      <c r="D273" s="41" t="inlineStr">
        <is>
          <t>DP_IELINT_AEWC_AS</t>
        </is>
      </c>
      <c r="E273" s="40" t="inlineStr">
        <is>
          <t>Arun Kumar B</t>
        </is>
      </c>
      <c r="F273" s="40" t="inlineStr">
        <is>
          <t>Completed</t>
        </is>
      </c>
      <c r="G273" s="40" t="inlineStr">
        <is>
          <t>Completed</t>
        </is>
      </c>
      <c r="H273" s="39" t="n">
        <v>14</v>
      </c>
      <c r="I273" s="40" t="inlineStr">
        <is>
          <t>21 Nov 2025</t>
        </is>
      </c>
      <c r="J273" s="40" t="inlineStr">
        <is>
          <t>2 Feb 2026</t>
        </is>
      </c>
      <c r="K273" s="39" t="n">
        <v>73</v>
      </c>
      <c r="L273" s="38" t="inlineStr">
        <is>
          <t>Yes</t>
        </is>
      </c>
      <c r="M273" s="40" t="inlineStr"/>
      <c r="N273" s="40" t="inlineStr">
        <is>
          <t>Application</t>
        </is>
      </c>
    </row>
    <row r="274" ht="14" customHeight="1">
      <c r="A274" s="35" t="n">
        <v>274</v>
      </c>
      <c r="B274" s="36" t="inlineStr"/>
      <c r="C274" s="36" t="inlineStr"/>
      <c r="D274" s="37" t="inlineStr">
        <is>
          <t>DP_IELINT_AEWC_FWS</t>
        </is>
      </c>
      <c r="E274" s="36" t="inlineStr"/>
      <c r="F274" s="36" t="inlineStr"/>
      <c r="G274" s="36" t="inlineStr"/>
      <c r="H274" s="35" t="n">
        <v>11</v>
      </c>
      <c r="I274" s="36" t="inlineStr">
        <is>
          <t>21 Nov 2025</t>
        </is>
      </c>
      <c r="J274" s="36" t="inlineStr">
        <is>
          <t>13 Feb 2026</t>
        </is>
      </c>
      <c r="K274" s="35" t="n">
        <v>84</v>
      </c>
      <c r="L274" s="38" t="inlineStr">
        <is>
          <t>Yes</t>
        </is>
      </c>
      <c r="M274" s="36" t="inlineStr"/>
      <c r="N274" s="36" t="inlineStr">
        <is>
          <t>Application</t>
        </is>
      </c>
    </row>
    <row r="275" ht="14" customHeight="1">
      <c r="A275" s="39" t="n">
        <v>275</v>
      </c>
      <c r="B275" s="40" t="inlineStr">
        <is>
          <t>YIA2652</t>
        </is>
      </c>
      <c r="C275" s="40" t="inlineStr">
        <is>
          <t>DP-ESM-1062</t>
        </is>
      </c>
      <c r="D275" s="41" t="inlineStr">
        <is>
          <t>DP-ESM-1062-V1-AS-9ELEMENT_5CH_IntraPulseAnalyzer-x86-WIN</t>
        </is>
      </c>
      <c r="E275" s="40" t="inlineStr"/>
      <c r="F275" s="40" t="inlineStr"/>
      <c r="G275" s="40" t="inlineStr"/>
      <c r="H275" s="39" t="n">
        <v>0</v>
      </c>
      <c r="I275" s="40" t="inlineStr">
        <is>
          <t>-</t>
        </is>
      </c>
      <c r="J275" s="40" t="inlineStr">
        <is>
          <t>-</t>
        </is>
      </c>
      <c r="K275" s="39" t="inlineStr"/>
      <c r="L275" s="42" t="inlineStr">
        <is>
          <t>No</t>
        </is>
      </c>
      <c r="M275" s="40" t="inlineStr"/>
      <c r="N275" s="40" t="inlineStr">
        <is>
          <t>Application</t>
        </is>
      </c>
    </row>
    <row r="276" ht="14" customHeight="1">
      <c r="A276" s="35" t="n">
        <v>276</v>
      </c>
      <c r="B276" s="36" t="inlineStr"/>
      <c r="C276" s="36" t="inlineStr"/>
      <c r="D276" s="37" t="inlineStr">
        <is>
          <t>DP-ESM-1062-V1-AS-9ELEMENT_5CH_Standalone-x86-WIN</t>
        </is>
      </c>
      <c r="E276" s="36" t="inlineStr">
        <is>
          <t>Venkatasalapathi K</t>
        </is>
      </c>
      <c r="F276" s="36" t="inlineStr">
        <is>
          <t>Testing</t>
        </is>
      </c>
      <c r="G276" s="36" t="inlineStr">
        <is>
          <t>Testing</t>
        </is>
      </c>
      <c r="H276" s="35" t="n">
        <v>10</v>
      </c>
      <c r="I276" s="36" t="inlineStr">
        <is>
          <t>23 Jan 2026</t>
        </is>
      </c>
      <c r="J276" s="36" t="inlineStr">
        <is>
          <t>2 Feb 2026</t>
        </is>
      </c>
      <c r="K276" s="35" t="n">
        <v>10</v>
      </c>
      <c r="L276" s="38" t="inlineStr">
        <is>
          <t>Yes</t>
        </is>
      </c>
      <c r="M276" s="36" t="inlineStr"/>
      <c r="N276" s="36" t="inlineStr">
        <is>
          <t>Application</t>
        </is>
      </c>
    </row>
    <row r="277" ht="14" customHeight="1">
      <c r="A277" s="39" t="n">
        <v>277</v>
      </c>
      <c r="B277" s="40" t="inlineStr"/>
      <c r="C277" s="40" t="inlineStr"/>
      <c r="D277" s="41" t="inlineStr">
        <is>
          <t>DP-ESM-1062-V1-AS-CONTROLCENTER-x86-WIN</t>
        </is>
      </c>
      <c r="E277" s="40" t="inlineStr"/>
      <c r="F277" s="40" t="inlineStr"/>
      <c r="G277" s="40" t="inlineStr"/>
      <c r="H277" s="39" t="n">
        <v>9</v>
      </c>
      <c r="I277" s="40" t="inlineStr">
        <is>
          <t>23 Jan 2026</t>
        </is>
      </c>
      <c r="J277" s="40" t="inlineStr">
        <is>
          <t>24 Jan 2026</t>
        </is>
      </c>
      <c r="K277" s="39" t="n">
        <v>1</v>
      </c>
      <c r="L277" s="38" t="inlineStr">
        <is>
          <t>Yes</t>
        </is>
      </c>
      <c r="M277" s="40" t="inlineStr"/>
      <c r="N277" s="40" t="inlineStr">
        <is>
          <t>Application</t>
        </is>
      </c>
    </row>
    <row r="278" ht="14" customHeight="1">
      <c r="A278" s="35" t="n">
        <v>278</v>
      </c>
      <c r="B278" s="36" t="inlineStr"/>
      <c r="C278" s="36" t="inlineStr"/>
      <c r="D278" s="37" t="inlineStr">
        <is>
          <t>DP-ESM-1062-V1-DS-9ELEMENT_5CH-ARM64-LINUX</t>
        </is>
      </c>
      <c r="E278" s="36" t="inlineStr"/>
      <c r="F278" s="36" t="inlineStr"/>
      <c r="G278" s="36" t="inlineStr"/>
      <c r="H278" s="35" t="n">
        <v>7</v>
      </c>
      <c r="I278" s="36" t="inlineStr">
        <is>
          <t>23 Jan 2026</t>
        </is>
      </c>
      <c r="J278" s="36" t="inlineStr">
        <is>
          <t>24 Jan 2026</t>
        </is>
      </c>
      <c r="K278" s="35" t="n">
        <v>1</v>
      </c>
      <c r="L278" s="38" t="inlineStr">
        <is>
          <t>Yes</t>
        </is>
      </c>
      <c r="M278" s="36" t="inlineStr"/>
      <c r="N278" s="36" t="inlineStr">
        <is>
          <t>Application</t>
        </is>
      </c>
    </row>
    <row r="279" ht="14" customHeight="1">
      <c r="A279" s="39" t="n">
        <v>279</v>
      </c>
      <c r="B279" s="40" t="inlineStr"/>
      <c r="C279" s="40" t="inlineStr"/>
      <c r="D279" s="41" t="inlineStr">
        <is>
          <t>DP-ESM-1062-V1-FWS-9ELEMENT_5CH_MRx-ARM64-LINUX</t>
        </is>
      </c>
      <c r="E279" s="40" t="inlineStr"/>
      <c r="F279" s="40" t="inlineStr"/>
      <c r="G279" s="40" t="inlineStr"/>
      <c r="H279" s="39" t="n">
        <v>3</v>
      </c>
      <c r="I279" s="40" t="inlineStr">
        <is>
          <t>23 Jan 2026</t>
        </is>
      </c>
      <c r="J279" s="40" t="inlineStr">
        <is>
          <t>24 Jan 2026</t>
        </is>
      </c>
      <c r="K279" s="39" t="n">
        <v>1</v>
      </c>
      <c r="L279" s="38" t="inlineStr">
        <is>
          <t>Yes</t>
        </is>
      </c>
      <c r="M279" s="40" t="inlineStr"/>
      <c r="N279" s="40" t="inlineStr">
        <is>
          <t>Application</t>
        </is>
      </c>
    </row>
    <row r="280" ht="14" customHeight="1">
      <c r="A280" s="35" t="n">
        <v>280</v>
      </c>
      <c r="B280" s="36" t="inlineStr"/>
      <c r="C280" s="36" t="inlineStr"/>
      <c r="D280" s="37" t="inlineStr">
        <is>
          <t>DP-ESM-1062-V1-FWS-9ELEMENT_5CH_SRx-ARM64-LINUX</t>
        </is>
      </c>
      <c r="E280" s="36" t="inlineStr"/>
      <c r="F280" s="36" t="inlineStr"/>
      <c r="G280" s="36" t="inlineStr"/>
      <c r="H280" s="35" t="n">
        <v>9</v>
      </c>
      <c r="I280" s="36" t="inlineStr">
        <is>
          <t>23 Jan 2026</t>
        </is>
      </c>
      <c r="J280" s="36" t="inlineStr">
        <is>
          <t>2 Feb 2026</t>
        </is>
      </c>
      <c r="K280" s="35" t="n">
        <v>10</v>
      </c>
      <c r="L280" s="38" t="inlineStr">
        <is>
          <t>Yes</t>
        </is>
      </c>
      <c r="M280" s="36" t="inlineStr"/>
      <c r="N280" s="36" t="inlineStr">
        <is>
          <t>Application</t>
        </is>
      </c>
    </row>
    <row r="281" ht="14" customHeight="1">
      <c r="A281" s="39" t="n">
        <v>281</v>
      </c>
      <c r="B281" s="40" t="inlineStr"/>
      <c r="C281" s="40" t="inlineStr">
        <is>
          <t>DP-CRF-6308</t>
        </is>
      </c>
      <c r="D281" s="41" t="inlineStr">
        <is>
          <t>DP-CRF-6308-V1-AS-x86-WIN</t>
        </is>
      </c>
      <c r="E281" s="40" t="inlineStr"/>
      <c r="F281" s="40" t="inlineStr"/>
      <c r="G281" s="40" t="inlineStr"/>
      <c r="H281" s="39" t="n">
        <v>1</v>
      </c>
      <c r="I281" s="40" t="inlineStr">
        <is>
          <t>4 Feb 2026</t>
        </is>
      </c>
      <c r="J281" s="40" t="inlineStr">
        <is>
          <t>4 Feb 2026</t>
        </is>
      </c>
      <c r="K281" s="39" t="n">
        <v>0</v>
      </c>
      <c r="L281" s="38" t="inlineStr">
        <is>
          <t>Yes</t>
        </is>
      </c>
      <c r="M281" s="40" t="inlineStr"/>
      <c r="N281" s="40" t="inlineStr">
        <is>
          <t>Application</t>
        </is>
      </c>
    </row>
    <row r="282" ht="14" customHeight="1">
      <c r="A282" s="35" t="n">
        <v>282</v>
      </c>
      <c r="B282" s="36" t="inlineStr"/>
      <c r="C282" s="36" t="inlineStr">
        <is>
          <t>DP-CRF-6398</t>
        </is>
      </c>
      <c r="D282" s="37" t="inlineStr">
        <is>
          <t>DP-CRF-6398-V1-AS-x86-WIN</t>
        </is>
      </c>
      <c r="E282" s="36" t="inlineStr"/>
      <c r="F282" s="36" t="inlineStr"/>
      <c r="G282" s="36" t="inlineStr"/>
      <c r="H282" s="35" t="n">
        <v>3</v>
      </c>
      <c r="I282" s="36" t="inlineStr">
        <is>
          <t>24 Jan 2026</t>
        </is>
      </c>
      <c r="J282" s="36" t="inlineStr">
        <is>
          <t>4 Feb 2026</t>
        </is>
      </c>
      <c r="K282" s="35" t="n">
        <v>11</v>
      </c>
      <c r="L282" s="38" t="inlineStr">
        <is>
          <t>Yes</t>
        </is>
      </c>
      <c r="M282" s="36" t="inlineStr"/>
      <c r="N282" s="36" t="inlineStr">
        <is>
          <t>Application</t>
        </is>
      </c>
    </row>
    <row r="283" ht="14" customHeight="1">
      <c r="A283" s="39" t="n">
        <v>283</v>
      </c>
      <c r="B283" s="40" t="inlineStr">
        <is>
          <t>YEC2750</t>
        </is>
      </c>
      <c r="C283" s="40" t="inlineStr"/>
      <c r="D283" s="41" t="inlineStr">
        <is>
          <t>YEC2750_APP</t>
        </is>
      </c>
      <c r="E283" s="40" t="inlineStr">
        <is>
          <t>Naveen C</t>
        </is>
      </c>
      <c r="F283" s="40" t="inlineStr">
        <is>
          <t>Completed</t>
        </is>
      </c>
      <c r="G283" s="40" t="inlineStr">
        <is>
          <t>Completed</t>
        </is>
      </c>
      <c r="H283" s="39" t="n">
        <v>41</v>
      </c>
      <c r="I283" s="40" t="inlineStr">
        <is>
          <t>2 Jan 2025</t>
        </is>
      </c>
      <c r="J283" s="40" t="inlineStr">
        <is>
          <t>31 Dec 2025</t>
        </is>
      </c>
      <c r="K283" s="39" t="n">
        <v>363</v>
      </c>
      <c r="L283" s="38" t="inlineStr">
        <is>
          <t>Yes</t>
        </is>
      </c>
      <c r="M283" s="40" t="inlineStr"/>
      <c r="N283" s="40" t="inlineStr">
        <is>
          <t>Application</t>
        </is>
      </c>
    </row>
    <row r="284" ht="14" customHeight="1">
      <c r="A284" s="35" t="n">
        <v>284</v>
      </c>
      <c r="B284" s="36" t="inlineStr"/>
      <c r="C284" s="36" t="inlineStr"/>
      <c r="D284" s="37" t="inlineStr">
        <is>
          <t>YEC2750_DS_0930</t>
        </is>
      </c>
      <c r="E284" s="36" t="inlineStr"/>
      <c r="F284" s="36" t="inlineStr"/>
      <c r="G284" s="36" t="inlineStr"/>
      <c r="H284" s="35" t="n">
        <v>1</v>
      </c>
      <c r="I284" s="36" t="inlineStr">
        <is>
          <t>7 Jan 2025</t>
        </is>
      </c>
      <c r="J284" s="36" t="inlineStr">
        <is>
          <t>7 Jan 2025</t>
        </is>
      </c>
      <c r="K284" s="35" t="n">
        <v>0</v>
      </c>
      <c r="L284" s="38" t="inlineStr">
        <is>
          <t>Yes</t>
        </is>
      </c>
      <c r="M284" s="36" t="inlineStr"/>
      <c r="N284" s="36" t="inlineStr">
        <is>
          <t>Application</t>
        </is>
      </c>
    </row>
    <row r="285" ht="14" customHeight="1">
      <c r="A285" s="39" t="n">
        <v>285</v>
      </c>
      <c r="B285" s="40" t="inlineStr"/>
      <c r="C285" s="40" t="inlineStr"/>
      <c r="D285" s="41" t="inlineStr">
        <is>
          <t>YEC2750_DS_5028</t>
        </is>
      </c>
      <c r="E285" s="40" t="inlineStr"/>
      <c r="F285" s="40" t="inlineStr"/>
      <c r="G285" s="40" t="inlineStr"/>
      <c r="H285" s="39" t="n">
        <v>1</v>
      </c>
      <c r="I285" s="40" t="inlineStr">
        <is>
          <t>7 Jan 2025</t>
        </is>
      </c>
      <c r="J285" s="40" t="inlineStr">
        <is>
          <t>7 Jan 2025</t>
        </is>
      </c>
      <c r="K285" s="39" t="n">
        <v>0</v>
      </c>
      <c r="L285" s="38" t="inlineStr">
        <is>
          <t>Yes</t>
        </is>
      </c>
      <c r="M285" s="40" t="inlineStr"/>
      <c r="N285" s="40" t="inlineStr">
        <is>
          <t>Application</t>
        </is>
      </c>
    </row>
    <row r="286" ht="14" customHeight="1">
      <c r="A286" s="35" t="n">
        <v>286</v>
      </c>
      <c r="B286" s="36" t="inlineStr"/>
      <c r="C286" s="36" t="inlineStr"/>
      <c r="D286" s="37" t="inlineStr">
        <is>
          <t>YEC2750_FWS</t>
        </is>
      </c>
      <c r="E286" s="36" t="inlineStr"/>
      <c r="F286" s="36" t="inlineStr"/>
      <c r="G286" s="36" t="inlineStr"/>
      <c r="H286" s="35" t="n">
        <v>39</v>
      </c>
      <c r="I286" s="36" t="inlineStr">
        <is>
          <t>7 Jan 2025</t>
        </is>
      </c>
      <c r="J286" s="36" t="inlineStr">
        <is>
          <t>26 Jan 2025</t>
        </is>
      </c>
      <c r="K286" s="35" t="n">
        <v>19</v>
      </c>
      <c r="L286" s="38" t="inlineStr">
        <is>
          <t>Yes</t>
        </is>
      </c>
      <c r="M286" s="36" t="inlineStr"/>
      <c r="N286" s="36" t="inlineStr">
        <is>
          <t>Application</t>
        </is>
      </c>
    </row>
    <row r="287" ht="14" customHeight="1">
      <c r="A287" s="39" t="n">
        <v>287</v>
      </c>
      <c r="B287" s="40" t="inlineStr"/>
      <c r="C287" s="40" t="inlineStr"/>
      <c r="D287" s="41" t="inlineStr">
        <is>
          <t>YEC2750_IPA</t>
        </is>
      </c>
      <c r="E287" s="40" t="inlineStr"/>
      <c r="F287" s="40" t="inlineStr"/>
      <c r="G287" s="40" t="inlineStr"/>
      <c r="H287" s="39" t="n">
        <v>5</v>
      </c>
      <c r="I287" s="40" t="inlineStr">
        <is>
          <t>7 Jan 2025</t>
        </is>
      </c>
      <c r="J287" s="40" t="inlineStr">
        <is>
          <t>19 Jun 2025</t>
        </is>
      </c>
      <c r="K287" s="39" t="n">
        <v>163</v>
      </c>
      <c r="L287" s="38" t="inlineStr">
        <is>
          <t>Yes</t>
        </is>
      </c>
      <c r="M287" s="40" t="inlineStr"/>
      <c r="N287" s="40" t="inlineStr">
        <is>
          <t>Application</t>
        </is>
      </c>
    </row>
    <row r="288" ht="14" customHeight="1">
      <c r="A288" s="35" t="n">
        <v>288</v>
      </c>
      <c r="B288" s="36" t="inlineStr">
        <is>
          <t>YEC2934</t>
        </is>
      </c>
      <c r="C288" s="36" t="inlineStr"/>
      <c r="D288" s="37" t="inlineStr">
        <is>
          <t>YEC2934_BEL_NBRFLRU_2BLI_AS</t>
        </is>
      </c>
      <c r="E288" s="36" t="inlineStr">
        <is>
          <t>Naveen C</t>
        </is>
      </c>
      <c r="F288" s="36" t="inlineStr">
        <is>
          <t>DEMO</t>
        </is>
      </c>
      <c r="G288" s="36" t="inlineStr">
        <is>
          <t>DEMO</t>
        </is>
      </c>
      <c r="H288" s="35" t="n">
        <v>1</v>
      </c>
      <c r="I288" s="36" t="inlineStr">
        <is>
          <t>10 Jan 2025</t>
        </is>
      </c>
      <c r="J288" s="36" t="inlineStr">
        <is>
          <t>12 Jan 2025</t>
        </is>
      </c>
      <c r="K288" s="35" t="n">
        <v>2</v>
      </c>
      <c r="L288" s="38" t="inlineStr">
        <is>
          <t>Yes</t>
        </is>
      </c>
      <c r="M288" s="36" t="inlineStr"/>
      <c r="N288" s="36" t="inlineStr">
        <is>
          <t>Application</t>
        </is>
      </c>
    </row>
    <row r="289" ht="14" customHeight="1">
      <c r="A289" s="39" t="n">
        <v>289</v>
      </c>
      <c r="B289" s="40" t="inlineStr"/>
      <c r="C289" s="40" t="inlineStr"/>
      <c r="D289" s="41" t="inlineStr">
        <is>
          <t>YEC2934_BEL_NBRFLRU_2BLI_FWS</t>
        </is>
      </c>
      <c r="E289" s="40" t="inlineStr"/>
      <c r="F289" s="40" t="inlineStr"/>
      <c r="G289" s="40" t="inlineStr"/>
      <c r="H289" s="39" t="n">
        <v>1</v>
      </c>
      <c r="I289" s="40" t="inlineStr">
        <is>
          <t>10 Jan 2025</t>
        </is>
      </c>
      <c r="J289" s="40" t="inlineStr">
        <is>
          <t>12 Jan 2025</t>
        </is>
      </c>
      <c r="K289" s="39" t="n">
        <v>2</v>
      </c>
      <c r="L289" s="38" t="inlineStr">
        <is>
          <t>Yes</t>
        </is>
      </c>
      <c r="M289" s="40" t="inlineStr"/>
      <c r="N289" s="40" t="inlineStr">
        <is>
          <t>Application</t>
        </is>
      </c>
    </row>
    <row r="290" ht="14" customHeight="1">
      <c r="A290" s="35" t="n">
        <v>290</v>
      </c>
      <c r="B290" s="36" t="inlineStr"/>
      <c r="C290" s="36" t="inlineStr">
        <is>
          <t>DP-CRF-7553</t>
        </is>
      </c>
      <c r="D290" s="37" t="inlineStr">
        <is>
          <t>DP-CRF-7553-V1-AS-X86-WIN</t>
        </is>
      </c>
      <c r="E290" s="36" t="inlineStr"/>
      <c r="F290" s="36" t="inlineStr"/>
      <c r="G290" s="36" t="inlineStr"/>
      <c r="H290" s="35" t="n">
        <v>7</v>
      </c>
      <c r="I290" s="36" t="inlineStr">
        <is>
          <t>10 Jan 2025</t>
        </is>
      </c>
      <c r="J290" s="36" t="inlineStr">
        <is>
          <t>22 Sep 2025</t>
        </is>
      </c>
      <c r="K290" s="35" t="n">
        <v>255</v>
      </c>
      <c r="L290" s="38" t="inlineStr">
        <is>
          <t>Yes</t>
        </is>
      </c>
      <c r="M290" s="36" t="inlineStr"/>
      <c r="N290" s="36" t="inlineStr">
        <is>
          <t>Application</t>
        </is>
      </c>
    </row>
    <row r="291" ht="14" customHeight="1">
      <c r="A291" s="39" t="n">
        <v>291</v>
      </c>
      <c r="B291" s="40" t="inlineStr"/>
      <c r="C291" s="40" t="inlineStr"/>
      <c r="D291" s="41" t="inlineStr">
        <is>
          <t>DP-CRF-7553-V1-FWS-XMEGA</t>
        </is>
      </c>
      <c r="E291" s="40" t="inlineStr"/>
      <c r="F291" s="40" t="inlineStr"/>
      <c r="G291" s="40" t="inlineStr"/>
      <c r="H291" s="39" t="n">
        <v>7</v>
      </c>
      <c r="I291" s="40" t="inlineStr">
        <is>
          <t>10 Jan 2025</t>
        </is>
      </c>
      <c r="J291" s="40" t="inlineStr">
        <is>
          <t>22 Sep 2025</t>
        </is>
      </c>
      <c r="K291" s="39" t="n">
        <v>255</v>
      </c>
      <c r="L291" s="38" t="inlineStr">
        <is>
          <t>Yes</t>
        </is>
      </c>
      <c r="M291" s="40" t="inlineStr"/>
      <c r="N291" s="40" t="inlineStr">
        <is>
          <t>Application</t>
        </is>
      </c>
    </row>
    <row r="292" ht="14" customHeight="1">
      <c r="A292" s="35" t="n">
        <v>292</v>
      </c>
      <c r="B292" s="36" t="inlineStr">
        <is>
          <t>YIB2815</t>
        </is>
      </c>
      <c r="C292" s="36" t="inlineStr">
        <is>
          <t>DP-ECM-1215</t>
        </is>
      </c>
      <c r="D292" s="37" t="inlineStr">
        <is>
          <t>DP-ECM-1215-603-V1-AS-X86-W10</t>
        </is>
      </c>
      <c r="E292" s="36" t="inlineStr">
        <is>
          <t>Linto Thomas</t>
        </is>
      </c>
      <c r="F292" s="36" t="inlineStr">
        <is>
          <t>Implementation</t>
        </is>
      </c>
      <c r="G292" s="36" t="inlineStr">
        <is>
          <t>Implementation</t>
        </is>
      </c>
      <c r="H292" s="35" t="n">
        <v>40</v>
      </c>
      <c r="I292" s="36" t="inlineStr">
        <is>
          <t>3 Dec 2024</t>
        </is>
      </c>
      <c r="J292" s="36" t="inlineStr">
        <is>
          <t>13 Feb 2026</t>
        </is>
      </c>
      <c r="K292" s="35" t="n">
        <v>437</v>
      </c>
      <c r="L292" s="38" t="inlineStr">
        <is>
          <t>Yes</t>
        </is>
      </c>
      <c r="M292" s="36" t="inlineStr"/>
      <c r="N292" s="36" t="inlineStr">
        <is>
          <t>Application</t>
        </is>
      </c>
    </row>
    <row r="293" ht="14" customHeight="1">
      <c r="A293" s="39" t="n">
        <v>293</v>
      </c>
      <c r="B293" s="40" t="inlineStr"/>
      <c r="C293" s="40" t="inlineStr"/>
      <c r="D293" s="41" t="inlineStr">
        <is>
          <t>DP-ECM-1215-603-V1-FWS-ARM64-LINUX</t>
        </is>
      </c>
      <c r="E293" s="40" t="inlineStr"/>
      <c r="F293" s="40" t="inlineStr"/>
      <c r="G293" s="40" t="inlineStr"/>
      <c r="H293" s="39" t="n">
        <v>45</v>
      </c>
      <c r="I293" s="40" t="inlineStr">
        <is>
          <t>3 Dec 2024</t>
        </is>
      </c>
      <c r="J293" s="40" t="inlineStr">
        <is>
          <t>12 Feb 2026</t>
        </is>
      </c>
      <c r="K293" s="39" t="n">
        <v>436</v>
      </c>
      <c r="L293" s="38" t="inlineStr">
        <is>
          <t>Yes</t>
        </is>
      </c>
      <c r="M293" s="40" t="inlineStr"/>
      <c r="N293" s="40" t="inlineStr">
        <is>
          <t>Application</t>
        </is>
      </c>
    </row>
    <row r="294" ht="14" customHeight="1">
      <c r="A294" s="35" t="n">
        <v>294</v>
      </c>
      <c r="B294" s="36" t="inlineStr">
        <is>
          <t>YIA2813</t>
        </is>
      </c>
      <c r="C294" s="36" t="inlineStr">
        <is>
          <t>DP-EW-8002</t>
        </is>
      </c>
      <c r="D294" s="37" t="inlineStr">
        <is>
          <t>DP-EW-8002-663-V1-AS-X86-WIN-1V00</t>
        </is>
      </c>
      <c r="E294" s="36" t="inlineStr">
        <is>
          <t>Vadivel A</t>
        </is>
      </c>
      <c r="F294" s="36" t="inlineStr">
        <is>
          <t>Completed</t>
        </is>
      </c>
      <c r="G294" s="36" t="inlineStr">
        <is>
          <t>Completed</t>
        </is>
      </c>
      <c r="H294" s="35" t="n">
        <v>4</v>
      </c>
      <c r="I294" s="36" t="inlineStr">
        <is>
          <t>31 Jul 2025</t>
        </is>
      </c>
      <c r="J294" s="36" t="inlineStr">
        <is>
          <t>22 Dec 2025</t>
        </is>
      </c>
      <c r="K294" s="35" t="n">
        <v>144</v>
      </c>
      <c r="L294" s="38" t="inlineStr">
        <is>
          <t>Yes</t>
        </is>
      </c>
      <c r="M294" s="36" t="inlineStr"/>
      <c r="N294" s="36" t="inlineStr">
        <is>
          <t>Application</t>
        </is>
      </c>
    </row>
    <row r="295" ht="14" customHeight="1">
      <c r="A295" s="39" t="n">
        <v>295</v>
      </c>
      <c r="B295" s="40" t="inlineStr"/>
      <c r="C295" s="40" t="inlineStr"/>
      <c r="D295" s="41" t="inlineStr">
        <is>
          <t>DP-EW-8002-663-V1-FWS-PPC-LX-1V00</t>
        </is>
      </c>
      <c r="E295" s="40" t="inlineStr"/>
      <c r="F295" s="40" t="inlineStr"/>
      <c r="G295" s="40" t="inlineStr"/>
      <c r="H295" s="39" t="n">
        <v>2</v>
      </c>
      <c r="I295" s="40" t="inlineStr">
        <is>
          <t>31 Jul 2025</t>
        </is>
      </c>
      <c r="J295" s="40" t="inlineStr">
        <is>
          <t>22 Dec 2025</t>
        </is>
      </c>
      <c r="K295" s="39" t="n">
        <v>144</v>
      </c>
      <c r="L295" s="38" t="inlineStr">
        <is>
          <t>Yes</t>
        </is>
      </c>
      <c r="M295" s="40" t="inlineStr"/>
      <c r="N295" s="40" t="inlineStr">
        <is>
          <t>Application</t>
        </is>
      </c>
    </row>
    <row r="296" ht="14" customHeight="1">
      <c r="A296" s="35" t="n">
        <v>296</v>
      </c>
      <c r="B296" s="36" t="inlineStr">
        <is>
          <t>YIB2821</t>
        </is>
      </c>
      <c r="C296" s="36" t="inlineStr">
        <is>
          <t>DP-SPL-6907</t>
        </is>
      </c>
      <c r="D296" s="37" t="inlineStr">
        <is>
          <t>DP-SPL-6907-V1-AS-X86-WIN10</t>
        </is>
      </c>
      <c r="E296" s="36" t="inlineStr">
        <is>
          <t>Mahesh K V</t>
        </is>
      </c>
      <c r="F296" s="36" t="inlineStr">
        <is>
          <t>Completed</t>
        </is>
      </c>
      <c r="G296" s="36" t="inlineStr">
        <is>
          <t>Completed</t>
        </is>
      </c>
      <c r="H296" s="35" t="n">
        <v>1</v>
      </c>
      <c r="I296" s="36" t="inlineStr">
        <is>
          <t>10 Nov 2025</t>
        </is>
      </c>
      <c r="J296" s="36" t="inlineStr">
        <is>
          <t>25 Nov 2025</t>
        </is>
      </c>
      <c r="K296" s="35" t="n">
        <v>15</v>
      </c>
      <c r="L296" s="38" t="inlineStr">
        <is>
          <t>Yes</t>
        </is>
      </c>
      <c r="M296" s="36" t="inlineStr"/>
      <c r="N296" s="36" t="inlineStr">
        <is>
          <t>Application</t>
        </is>
      </c>
    </row>
    <row r="297" ht="14" customHeight="1">
      <c r="A297" s="39" t="n">
        <v>297</v>
      </c>
      <c r="B297" s="40" t="inlineStr"/>
      <c r="C297" s="40" t="inlineStr"/>
      <c r="D297" s="41" t="inlineStr">
        <is>
          <t>DP-SPL-6907-V1-FWS-ATXMEGA128A4U</t>
        </is>
      </c>
      <c r="E297" s="40" t="inlineStr"/>
      <c r="F297" s="40" t="inlineStr"/>
      <c r="G297" s="40" t="inlineStr"/>
      <c r="H297" s="39" t="n">
        <v>1</v>
      </c>
      <c r="I297" s="40" t="inlineStr">
        <is>
          <t>10 Nov 2025</t>
        </is>
      </c>
      <c r="J297" s="40" t="inlineStr">
        <is>
          <t>25 Nov 2025</t>
        </is>
      </c>
      <c r="K297" s="39" t="n">
        <v>15</v>
      </c>
      <c r="L297" s="38" t="inlineStr">
        <is>
          <t>Yes</t>
        </is>
      </c>
      <c r="M297" s="40" t="inlineStr"/>
      <c r="N297" s="40" t="inlineStr">
        <is>
          <t>Application</t>
        </is>
      </c>
    </row>
    <row r="298" ht="14" customHeight="1">
      <c r="A298" s="35" t="n">
        <v>298</v>
      </c>
      <c r="B298" s="36" t="inlineStr">
        <is>
          <t>YEA2936</t>
        </is>
      </c>
      <c r="C298" s="36" t="inlineStr">
        <is>
          <t>DP-DMCS-8125</t>
        </is>
      </c>
      <c r="D298" s="37" t="inlineStr">
        <is>
          <t>DP-DMCS-8125-V1-02-AS-x86-WIN</t>
        </is>
      </c>
      <c r="E298" s="36" t="inlineStr">
        <is>
          <t>Madhusudhan Dangeti</t>
        </is>
      </c>
      <c r="F298" s="36" t="inlineStr">
        <is>
          <t>Testing</t>
        </is>
      </c>
      <c r="G298" s="36" t="inlineStr">
        <is>
          <t>Testing</t>
        </is>
      </c>
      <c r="H298" s="35" t="n">
        <v>0</v>
      </c>
      <c r="I298" s="36" t="inlineStr">
        <is>
          <t>-</t>
        </is>
      </c>
      <c r="J298" s="36" t="inlineStr">
        <is>
          <t>-</t>
        </is>
      </c>
      <c r="K298" s="35" t="inlineStr"/>
      <c r="L298" s="42" t="inlineStr">
        <is>
          <t>No</t>
        </is>
      </c>
      <c r="M298" s="36" t="inlineStr"/>
      <c r="N298" s="36" t="inlineStr">
        <is>
          <t>Application</t>
        </is>
      </c>
    </row>
    <row r="299" ht="14" customHeight="1">
      <c r="A299" s="39" t="n">
        <v>299</v>
      </c>
      <c r="B299" s="40" t="inlineStr"/>
      <c r="C299" s="40" t="inlineStr"/>
      <c r="D299" s="41" t="inlineStr">
        <is>
          <t>DP-DMCS-8125-V1-02-FWS-ADSP21569</t>
        </is>
      </c>
      <c r="E299" s="40" t="inlineStr"/>
      <c r="F299" s="40" t="inlineStr"/>
      <c r="G299" s="40" t="inlineStr"/>
      <c r="H299" s="39" t="n">
        <v>0</v>
      </c>
      <c r="I299" s="40" t="inlineStr">
        <is>
          <t>-</t>
        </is>
      </c>
      <c r="J299" s="40" t="inlineStr">
        <is>
          <t>-</t>
        </is>
      </c>
      <c r="K299" s="39" t="inlineStr"/>
      <c r="L299" s="42" t="inlineStr">
        <is>
          <t>No</t>
        </is>
      </c>
      <c r="M299" s="40" t="inlineStr"/>
      <c r="N299" s="40" t="inlineStr">
        <is>
          <t>Application</t>
        </is>
      </c>
    </row>
    <row r="300" ht="14" customHeight="1">
      <c r="A300" s="35" t="n">
        <v>300</v>
      </c>
      <c r="B300" s="36" t="inlineStr">
        <is>
          <t>YEB3076</t>
        </is>
      </c>
      <c r="C300" s="36" t="inlineStr">
        <is>
          <t>-</t>
        </is>
      </c>
      <c r="D300" s="37" t="inlineStr">
        <is>
          <t>-</t>
        </is>
      </c>
      <c r="E300" s="36" t="inlineStr">
        <is>
          <t>Venkatasalapathi K</t>
        </is>
      </c>
      <c r="F300" s="36" t="inlineStr">
        <is>
          <t>Requirement</t>
        </is>
      </c>
      <c r="G300" s="36" t="inlineStr">
        <is>
          <t>Requirement</t>
        </is>
      </c>
      <c r="H300" s="35" t="n">
        <v>0</v>
      </c>
      <c r="I300" s="36" t="inlineStr">
        <is>
          <t>-</t>
        </is>
      </c>
      <c r="J300" s="36" t="inlineStr">
        <is>
          <t>-</t>
        </is>
      </c>
      <c r="K300" s="35" t="inlineStr"/>
      <c r="L300" s="42" t="inlineStr">
        <is>
          <t>No</t>
        </is>
      </c>
      <c r="M300" s="36" t="inlineStr"/>
      <c r="N300" s="36" t="inlineStr">
        <is>
          <t>Application</t>
        </is>
      </c>
    </row>
    <row r="301" ht="14" customHeight="1">
      <c r="A301" s="39" t="n">
        <v>301</v>
      </c>
      <c r="B301" s="40" t="inlineStr">
        <is>
          <t>YEC2877</t>
        </is>
      </c>
      <c r="C301" s="40" t="inlineStr">
        <is>
          <t>DP-CRF-7463</t>
        </is>
      </c>
      <c r="D301" s="41" t="inlineStr">
        <is>
          <t>-</t>
        </is>
      </c>
      <c r="E301" s="40" t="inlineStr">
        <is>
          <t>Mahesh K V</t>
        </is>
      </c>
      <c r="F301" s="40" t="inlineStr">
        <is>
          <t>Completed before Apr 2025</t>
        </is>
      </c>
      <c r="G301" s="40" t="inlineStr">
        <is>
          <t>Completed before Apr 2025</t>
        </is>
      </c>
      <c r="H301" s="39" t="n">
        <v>0</v>
      </c>
      <c r="I301" s="40" t="inlineStr">
        <is>
          <t>-</t>
        </is>
      </c>
      <c r="J301" s="40" t="inlineStr">
        <is>
          <t>-</t>
        </is>
      </c>
      <c r="K301" s="39" t="inlineStr"/>
      <c r="L301" s="42" t="inlineStr">
        <is>
          <t>No</t>
        </is>
      </c>
      <c r="M301" s="40" t="inlineStr"/>
      <c r="N301" s="40" t="inlineStr">
        <is>
          <t>Application</t>
        </is>
      </c>
    </row>
    <row r="302" ht="14" customHeight="1">
      <c r="A302" s="35" t="n">
        <v>302</v>
      </c>
      <c r="B302" s="36" t="inlineStr">
        <is>
          <t>YEA2939</t>
        </is>
      </c>
      <c r="C302" s="36" t="inlineStr">
        <is>
          <t>DP-ATE-8210</t>
        </is>
      </c>
      <c r="D302" s="37" t="inlineStr">
        <is>
          <t>-</t>
        </is>
      </c>
      <c r="E302" s="36" t="inlineStr">
        <is>
          <t>Mahesh K V</t>
        </is>
      </c>
      <c r="F302" s="36" t="inlineStr">
        <is>
          <t>Completed before Apr 2025</t>
        </is>
      </c>
      <c r="G302" s="36" t="inlineStr">
        <is>
          <t>Completed before Apr 2025</t>
        </is>
      </c>
      <c r="H302" s="35" t="n">
        <v>0</v>
      </c>
      <c r="I302" s="36" t="inlineStr">
        <is>
          <t>-</t>
        </is>
      </c>
      <c r="J302" s="36" t="inlineStr">
        <is>
          <t>-</t>
        </is>
      </c>
      <c r="K302" s="35" t="inlineStr"/>
      <c r="L302" s="42" t="inlineStr">
        <is>
          <t>No</t>
        </is>
      </c>
      <c r="M302" s="36" t="inlineStr"/>
      <c r="N302" s="36" t="inlineStr">
        <is>
          <t>Application</t>
        </is>
      </c>
    </row>
    <row r="303" ht="14" customHeight="1">
      <c r="A303" s="39" t="n">
        <v>303</v>
      </c>
      <c r="B303" s="40" t="inlineStr">
        <is>
          <t>YEC2952</t>
        </is>
      </c>
      <c r="C303" s="40" t="inlineStr">
        <is>
          <t>DP-ATE-8210</t>
        </is>
      </c>
      <c r="D303" s="41" t="inlineStr">
        <is>
          <t>-</t>
        </is>
      </c>
      <c r="E303" s="40" t="inlineStr">
        <is>
          <t>Mahesh K V</t>
        </is>
      </c>
      <c r="F303" s="40" t="inlineStr">
        <is>
          <t>Completed before Apr 2025</t>
        </is>
      </c>
      <c r="G303" s="40" t="inlineStr">
        <is>
          <t>Completed before Apr 2025</t>
        </is>
      </c>
      <c r="H303" s="39" t="n">
        <v>0</v>
      </c>
      <c r="I303" s="40" t="inlineStr">
        <is>
          <t>-</t>
        </is>
      </c>
      <c r="J303" s="40" t="inlineStr">
        <is>
          <t>-</t>
        </is>
      </c>
      <c r="K303" s="39" t="inlineStr"/>
      <c r="L303" s="42" t="inlineStr">
        <is>
          <t>No</t>
        </is>
      </c>
      <c r="M303" s="40" t="inlineStr"/>
      <c r="N303" s="40" t="inlineStr">
        <is>
          <t>Application</t>
        </is>
      </c>
    </row>
    <row r="304" ht="14" customHeight="1">
      <c r="A304" s="35" t="n">
        <v>304</v>
      </c>
      <c r="B304" s="36" t="inlineStr">
        <is>
          <t>YEC2691</t>
        </is>
      </c>
      <c r="C304" s="36" t="inlineStr">
        <is>
          <t>-</t>
        </is>
      </c>
      <c r="D304" s="37" t="inlineStr">
        <is>
          <t>-</t>
        </is>
      </c>
      <c r="E304" s="36" t="inlineStr">
        <is>
          <t>Madhusudhan Dangeti</t>
        </is>
      </c>
      <c r="F304" s="36" t="inlineStr">
        <is>
          <t>Completed before Apr 2025</t>
        </is>
      </c>
      <c r="G304" s="36" t="inlineStr">
        <is>
          <t>Completed before Apr 2025</t>
        </is>
      </c>
      <c r="H304" s="35" t="n">
        <v>0</v>
      </c>
      <c r="I304" s="36" t="inlineStr">
        <is>
          <t>-</t>
        </is>
      </c>
      <c r="J304" s="36" t="inlineStr">
        <is>
          <t>-</t>
        </is>
      </c>
      <c r="K304" s="35" t="inlineStr"/>
      <c r="L304" s="42" t="inlineStr">
        <is>
          <t>No</t>
        </is>
      </c>
      <c r="M304" s="36" t="inlineStr"/>
      <c r="N304" s="36" t="inlineStr">
        <is>
          <t>Application</t>
        </is>
      </c>
    </row>
    <row r="305" ht="14" customHeight="1">
      <c r="A305" s="39" t="n">
        <v>305</v>
      </c>
      <c r="B305" s="40" t="inlineStr">
        <is>
          <t>YIC2820</t>
        </is>
      </c>
      <c r="C305" s="40" t="inlineStr">
        <is>
          <t>-</t>
        </is>
      </c>
      <c r="D305" s="41" t="inlineStr">
        <is>
          <t>-</t>
        </is>
      </c>
      <c r="E305" s="40" t="inlineStr">
        <is>
          <t>Madhusudhan Dangeti</t>
        </is>
      </c>
      <c r="F305" s="40" t="inlineStr">
        <is>
          <t>Requirement</t>
        </is>
      </c>
      <c r="G305" s="40" t="inlineStr">
        <is>
          <t>Requirement</t>
        </is>
      </c>
      <c r="H305" s="39" t="n">
        <v>0</v>
      </c>
      <c r="I305" s="40" t="inlineStr"/>
      <c r="J305" s="40" t="inlineStr"/>
      <c r="K305" s="39" t="n">
        <v>0</v>
      </c>
      <c r="L305" s="42" t="inlineStr">
        <is>
          <t>No</t>
        </is>
      </c>
      <c r="M305" s="40" t="inlineStr"/>
      <c r="N305" s="40" t="inlineStr">
        <is>
          <t>Application</t>
        </is>
      </c>
    </row>
    <row r="306" ht="14" customHeight="1">
      <c r="A306" s="35" t="n">
        <v>306</v>
      </c>
      <c r="B306" s="36" t="inlineStr">
        <is>
          <t>YIB2784</t>
        </is>
      </c>
      <c r="C306" s="36" t="inlineStr">
        <is>
          <t>-</t>
        </is>
      </c>
      <c r="D306" s="37" t="inlineStr">
        <is>
          <t>-</t>
        </is>
      </c>
      <c r="E306" s="36" t="inlineStr"/>
      <c r="F306" s="36" t="inlineStr">
        <is>
          <t>Completed before Apr 2025</t>
        </is>
      </c>
      <c r="G306" s="36" t="inlineStr">
        <is>
          <t>Completed before Apr 2025</t>
        </is>
      </c>
      <c r="H306" s="35" t="n">
        <v>0</v>
      </c>
      <c r="I306" s="36" t="inlineStr">
        <is>
          <t>-</t>
        </is>
      </c>
      <c r="J306" s="36" t="inlineStr">
        <is>
          <t>-</t>
        </is>
      </c>
      <c r="K306" s="35" t="inlineStr"/>
      <c r="L306" s="42" t="inlineStr">
        <is>
          <t>No</t>
        </is>
      </c>
      <c r="M306" s="36" t="inlineStr"/>
      <c r="N306" s="36" t="inlineStr">
        <is>
          <t>Application</t>
        </is>
      </c>
    </row>
    <row r="307" ht="14" customHeight="1">
      <c r="A307" s="39" t="n">
        <v>307</v>
      </c>
      <c r="B307" s="40" t="inlineStr">
        <is>
          <t>YIA2819</t>
        </is>
      </c>
      <c r="C307" s="40" t="inlineStr">
        <is>
          <t>-</t>
        </is>
      </c>
      <c r="D307" s="41" t="inlineStr">
        <is>
          <t>-</t>
        </is>
      </c>
      <c r="E307" s="40" t="inlineStr"/>
      <c r="F307" s="40" t="inlineStr">
        <is>
          <t>Completed before Apr 2025</t>
        </is>
      </c>
      <c r="G307" s="40" t="inlineStr">
        <is>
          <t>Completed before Apr 2025</t>
        </is>
      </c>
      <c r="H307" s="39" t="n">
        <v>0</v>
      </c>
      <c r="I307" s="40" t="inlineStr">
        <is>
          <t>-</t>
        </is>
      </c>
      <c r="J307" s="40" t="inlineStr">
        <is>
          <t>-</t>
        </is>
      </c>
      <c r="K307" s="39" t="inlineStr"/>
      <c r="L307" s="42" t="inlineStr">
        <is>
          <t>No</t>
        </is>
      </c>
      <c r="M307" s="40" t="inlineStr"/>
      <c r="N307" s="40" t="inlineStr">
        <is>
          <t>Application</t>
        </is>
      </c>
    </row>
    <row r="308" ht="14" customHeight="1">
      <c r="A308" s="35" t="n">
        <v>308</v>
      </c>
      <c r="B308" s="36" t="inlineStr">
        <is>
          <t>YEB2143</t>
        </is>
      </c>
      <c r="C308" s="36" t="inlineStr">
        <is>
          <t>-</t>
        </is>
      </c>
      <c r="D308" s="37" t="inlineStr">
        <is>
          <t>-</t>
        </is>
      </c>
      <c r="E308" s="36" t="inlineStr"/>
      <c r="F308" s="36" t="inlineStr">
        <is>
          <t>Completed before Apr 2025</t>
        </is>
      </c>
      <c r="G308" s="36" t="inlineStr">
        <is>
          <t>Completed before Apr 2025</t>
        </is>
      </c>
      <c r="H308" s="35" t="n">
        <v>0</v>
      </c>
      <c r="I308" s="36" t="inlineStr">
        <is>
          <t>-</t>
        </is>
      </c>
      <c r="J308" s="36" t="inlineStr">
        <is>
          <t>-</t>
        </is>
      </c>
      <c r="K308" s="35" t="inlineStr"/>
      <c r="L308" s="42" t="inlineStr">
        <is>
          <t>No</t>
        </is>
      </c>
      <c r="M308" s="36" t="inlineStr"/>
      <c r="N308" s="36" t="inlineStr">
        <is>
          <t>Application</t>
        </is>
      </c>
    </row>
    <row r="309" ht="14" customHeight="1">
      <c r="A309" s="39" t="n">
        <v>309</v>
      </c>
      <c r="B309" s="40" t="inlineStr">
        <is>
          <t>YEB2775</t>
        </is>
      </c>
      <c r="C309" s="40" t="inlineStr">
        <is>
          <t>-</t>
        </is>
      </c>
      <c r="D309" s="41" t="inlineStr">
        <is>
          <t>-</t>
        </is>
      </c>
      <c r="E309" s="40" t="inlineStr"/>
      <c r="F309" s="40" t="inlineStr">
        <is>
          <t>Requirement</t>
        </is>
      </c>
      <c r="G309" s="40" t="inlineStr">
        <is>
          <t>Requirement</t>
        </is>
      </c>
      <c r="H309" s="39" t="n">
        <v>0</v>
      </c>
      <c r="I309" s="40" t="inlineStr">
        <is>
          <t>-</t>
        </is>
      </c>
      <c r="J309" s="40" t="inlineStr">
        <is>
          <t>-</t>
        </is>
      </c>
      <c r="K309" s="39" t="inlineStr"/>
      <c r="L309" s="42" t="inlineStr">
        <is>
          <t>No</t>
        </is>
      </c>
      <c r="M309" s="40" t="inlineStr"/>
      <c r="N309" s="40" t="inlineStr">
        <is>
          <t>Application</t>
        </is>
      </c>
    </row>
    <row r="310" ht="14" customHeight="1">
      <c r="A310" s="35" t="n">
        <v>310</v>
      </c>
      <c r="B310" s="36" t="inlineStr">
        <is>
          <t>YEA2918</t>
        </is>
      </c>
      <c r="C310" s="36" t="inlineStr">
        <is>
          <t>DP-OBC-8178</t>
        </is>
      </c>
      <c r="D310" s="37" t="inlineStr">
        <is>
          <t>DP-OBC-8178-V1-02-LIB-LINUX-OS</t>
        </is>
      </c>
      <c r="E310" s="36" t="inlineStr">
        <is>
          <t>Madhusudhan Dangeti</t>
        </is>
      </c>
      <c r="F310" s="36" t="inlineStr">
        <is>
          <t>Completed</t>
        </is>
      </c>
      <c r="G310" s="36" t="inlineStr">
        <is>
          <t>Completed</t>
        </is>
      </c>
      <c r="H310" s="35" t="n">
        <v>35</v>
      </c>
      <c r="I310" s="36" t="inlineStr">
        <is>
          <t>2025-06-04</t>
        </is>
      </c>
      <c r="J310" s="36" t="inlineStr">
        <is>
          <t>2026-01-09</t>
        </is>
      </c>
      <c r="K310" s="35" t="n">
        <v>219</v>
      </c>
      <c r="L310" s="38" t="inlineStr">
        <is>
          <t>Yes</t>
        </is>
      </c>
      <c r="M310" s="36" t="inlineStr"/>
      <c r="N310" s="36" t="inlineStr">
        <is>
          <t>Application</t>
        </is>
      </c>
    </row>
    <row r="311" ht="14" customHeight="1">
      <c r="A311" s="39" t="n">
        <v>311</v>
      </c>
      <c r="B311" s="40" t="inlineStr"/>
      <c r="C311" s="40" t="inlineStr">
        <is>
          <t>DP-OBC-8178-V1-02-US-LINUX</t>
        </is>
      </c>
      <c r="D311" s="41" t="inlineStr">
        <is>
          <t>DP-OBC-8178-V1-02-US-LINUX</t>
        </is>
      </c>
      <c r="E311" s="40" t="inlineStr"/>
      <c r="F311" s="40" t="inlineStr"/>
      <c r="G311" s="40" t="inlineStr"/>
      <c r="H311" s="39" t="n">
        <v>12</v>
      </c>
      <c r="I311" s="40" t="inlineStr">
        <is>
          <t>2025-06-12</t>
        </is>
      </c>
      <c r="J311" s="40" t="inlineStr">
        <is>
          <t>2025-10-29</t>
        </is>
      </c>
      <c r="K311" s="39" t="n">
        <v>139</v>
      </c>
      <c r="L311" s="38" t="inlineStr">
        <is>
          <t>Yes</t>
        </is>
      </c>
      <c r="M311" s="40" t="inlineStr"/>
      <c r="N311" s="40" t="inlineStr">
        <is>
          <t>Application</t>
        </is>
      </c>
    </row>
    <row r="312" ht="14" customHeight="1">
      <c r="A312" s="35" t="n">
        <v>312</v>
      </c>
      <c r="B312" s="36" t="inlineStr">
        <is>
          <t>YIA2822</t>
        </is>
      </c>
      <c r="C312" s="36" t="inlineStr">
        <is>
          <t>DP-TMC-8148</t>
        </is>
      </c>
      <c r="D312" s="37" t="inlineStr">
        <is>
          <t>-</t>
        </is>
      </c>
      <c r="E312" s="36" t="inlineStr"/>
      <c r="F312" s="36" t="inlineStr">
        <is>
          <t>Completed</t>
        </is>
      </c>
      <c r="G312" s="36" t="inlineStr">
        <is>
          <t>Completed</t>
        </is>
      </c>
      <c r="H312" s="35" t="n">
        <v>0</v>
      </c>
      <c r="I312" s="36" t="inlineStr"/>
      <c r="J312" s="36" t="inlineStr"/>
      <c r="K312" s="35" t="inlineStr"/>
      <c r="L312" s="42" t="inlineStr">
        <is>
          <t>No</t>
        </is>
      </c>
      <c r="M312" s="36" t="inlineStr"/>
      <c r="N312" s="36" t="inlineStr">
        <is>
          <t>Application</t>
        </is>
      </c>
    </row>
    <row r="313" ht="14" customHeight="1">
      <c r="A313" s="39" t="n">
        <v>313</v>
      </c>
      <c r="B313" s="40" t="inlineStr">
        <is>
          <t>YEB2694</t>
        </is>
      </c>
      <c r="C313" s="40" t="inlineStr">
        <is>
          <t>DP-RDR-8167</t>
        </is>
      </c>
      <c r="D313" s="41" t="inlineStr">
        <is>
          <t>DP-RDR-8167-V1-01-AS-HOST-X86_64-W10</t>
        </is>
      </c>
      <c r="E313" s="40" t="inlineStr">
        <is>
          <t>Poovarasan S</t>
        </is>
      </c>
      <c r="F313" s="40" t="inlineStr">
        <is>
          <t>Completed</t>
        </is>
      </c>
      <c r="G313" s="40" t="inlineStr">
        <is>
          <t>Completed</t>
        </is>
      </c>
      <c r="H313" s="39" t="n">
        <v>31</v>
      </c>
      <c r="I313" s="40" t="inlineStr">
        <is>
          <t>2025-03-06</t>
        </is>
      </c>
      <c r="J313" s="40" t="inlineStr">
        <is>
          <t>2025-09-19</t>
        </is>
      </c>
      <c r="K313" s="39" t="n">
        <v>197</v>
      </c>
      <c r="L313" s="38" t="inlineStr">
        <is>
          <t>Yes</t>
        </is>
      </c>
      <c r="M313" s="40" t="inlineStr"/>
      <c r="N313" s="40" t="inlineStr">
        <is>
          <t>Application</t>
        </is>
      </c>
    </row>
    <row r="314" ht="14" customHeight="1">
      <c r="A314" s="35" t="n">
        <v>314</v>
      </c>
      <c r="B314" s="36" t="inlineStr"/>
      <c r="C314" s="36" t="inlineStr"/>
      <c r="D314" s="37" t="inlineStr">
        <is>
          <t>DP-RDR-8167-V1-01-LIBS-HOST-X86_64-W10</t>
        </is>
      </c>
      <c r="E314" s="36" t="inlineStr"/>
      <c r="F314" s="36" t="inlineStr">
        <is>
          <t>Completed</t>
        </is>
      </c>
      <c r="G314" s="36" t="inlineStr">
        <is>
          <t>Completed</t>
        </is>
      </c>
      <c r="H314" s="35" t="n">
        <v>6</v>
      </c>
      <c r="I314" s="36" t="inlineStr">
        <is>
          <t>2025-03-06</t>
        </is>
      </c>
      <c r="J314" s="36" t="inlineStr">
        <is>
          <t>2025-04-07</t>
        </is>
      </c>
      <c r="K314" s="35" t="n">
        <v>32</v>
      </c>
      <c r="L314" s="38" t="inlineStr">
        <is>
          <t>Yes</t>
        </is>
      </c>
      <c r="M314" s="36" t="inlineStr"/>
      <c r="N314" s="36" t="inlineStr">
        <is>
          <t>Application</t>
        </is>
      </c>
    </row>
    <row r="315" ht="14" customHeight="1">
      <c r="A315" s="39" t="n">
        <v>315</v>
      </c>
      <c r="B315" s="40" t="inlineStr"/>
      <c r="C315" s="40" t="inlineStr"/>
      <c r="D315" s="41" t="inlineStr">
        <is>
          <t>DP-RDR-8167-V1-01-AS-TARGET-AARCH64-LIN5V10</t>
        </is>
      </c>
      <c r="E315" s="40" t="inlineStr"/>
      <c r="F315" s="40" t="inlineStr">
        <is>
          <t>Completed</t>
        </is>
      </c>
      <c r="G315" s="40" t="inlineStr">
        <is>
          <t>Completed</t>
        </is>
      </c>
      <c r="H315" s="39" t="n">
        <v>7</v>
      </c>
      <c r="I315" s="40" t="inlineStr">
        <is>
          <t>2025-03-06</t>
        </is>
      </c>
      <c r="J315" s="40" t="inlineStr">
        <is>
          <t>2025-08-14</t>
        </is>
      </c>
      <c r="K315" s="39" t="n">
        <v>161</v>
      </c>
      <c r="L315" s="38" t="inlineStr">
        <is>
          <t>Yes</t>
        </is>
      </c>
      <c r="M315" s="40" t="inlineStr"/>
      <c r="N315" s="40" t="inlineStr">
        <is>
          <t>Application</t>
        </is>
      </c>
    </row>
    <row r="316" ht="14" customHeight="1">
      <c r="A316" s="35" t="n">
        <v>316</v>
      </c>
      <c r="B316" s="36" t="inlineStr"/>
      <c r="C316" s="36" t="inlineStr"/>
      <c r="D316" s="37" t="inlineStr">
        <is>
          <t>DP-RDR-8167-V1-02-AS-HOST-X86_64-W10</t>
        </is>
      </c>
      <c r="E316" s="36" t="inlineStr"/>
      <c r="F316" s="36" t="inlineStr">
        <is>
          <t>Completed</t>
        </is>
      </c>
      <c r="G316" s="36" t="inlineStr">
        <is>
          <t>Completed</t>
        </is>
      </c>
      <c r="H316" s="35" t="n">
        <v>3</v>
      </c>
      <c r="I316" s="36" t="inlineStr">
        <is>
          <t>2025-03-06</t>
        </is>
      </c>
      <c r="J316" s="36" t="inlineStr">
        <is>
          <t>2025-03-10</t>
        </is>
      </c>
      <c r="K316" s="35" t="n">
        <v>4</v>
      </c>
      <c r="L316" s="38" t="inlineStr">
        <is>
          <t>Yes</t>
        </is>
      </c>
      <c r="M316" s="36" t="inlineStr"/>
      <c r="N316" s="36" t="inlineStr">
        <is>
          <t>Application</t>
        </is>
      </c>
    </row>
    <row r="317" ht="14" customHeight="1">
      <c r="A317" s="39" t="n">
        <v>317</v>
      </c>
      <c r="B317" s="40" t="inlineStr"/>
      <c r="C317" s="40" t="inlineStr"/>
      <c r="D317" s="41" t="inlineStr">
        <is>
          <t>DP-RDR-8167-V1-02-LIBS-X86_64-W10</t>
        </is>
      </c>
      <c r="E317" s="40" t="inlineStr"/>
      <c r="F317" s="40" t="inlineStr">
        <is>
          <t>Completed</t>
        </is>
      </c>
      <c r="G317" s="40" t="inlineStr">
        <is>
          <t>Completed</t>
        </is>
      </c>
      <c r="H317" s="39" t="n">
        <v>3</v>
      </c>
      <c r="I317" s="40" t="inlineStr">
        <is>
          <t>2025-03-06</t>
        </is>
      </c>
      <c r="J317" s="40" t="inlineStr">
        <is>
          <t>2025-03-10</t>
        </is>
      </c>
      <c r="K317" s="39" t="n">
        <v>4</v>
      </c>
      <c r="L317" s="38" t="inlineStr">
        <is>
          <t>Yes</t>
        </is>
      </c>
      <c r="M317" s="40" t="inlineStr"/>
      <c r="N317" s="40" t="inlineStr">
        <is>
          <t>Application</t>
        </is>
      </c>
    </row>
    <row r="318" ht="14" customHeight="1">
      <c r="A318" s="35" t="n">
        <v>318</v>
      </c>
      <c r="B318" s="36" t="inlineStr"/>
      <c r="C318" s="36" t="inlineStr"/>
      <c r="D318" s="37" t="inlineStr">
        <is>
          <t>DP-ATE-8420-V1-01-AS-RSU-HOST-x86_64-W10</t>
        </is>
      </c>
      <c r="E318" s="36" t="inlineStr"/>
      <c r="F318" s="36" t="inlineStr">
        <is>
          <t>On-Going</t>
        </is>
      </c>
      <c r="G318" s="36" t="inlineStr">
        <is>
          <t>On-Going</t>
        </is>
      </c>
      <c r="H318" s="35" t="n">
        <v>74</v>
      </c>
      <c r="I318" s="36" t="inlineStr">
        <is>
          <t>2025-03-08</t>
        </is>
      </c>
      <c r="J318" s="36" t="inlineStr">
        <is>
          <t>2025-12-11</t>
        </is>
      </c>
      <c r="K318" s="35" t="n">
        <v>278</v>
      </c>
      <c r="L318" s="38" t="inlineStr">
        <is>
          <t>Yes</t>
        </is>
      </c>
      <c r="M318" s="36" t="inlineStr"/>
      <c r="N318" s="36" t="inlineStr">
        <is>
          <t>Application</t>
        </is>
      </c>
    </row>
    <row r="319" ht="14" customHeight="1">
      <c r="A319" s="39" t="n">
        <v>319</v>
      </c>
      <c r="B319" s="40" t="inlineStr"/>
      <c r="C319" s="40" t="inlineStr"/>
      <c r="D319" s="41" t="inlineStr">
        <is>
          <t>DP-ATE-8420-V1-01-AS-RSU-OPU-AARCH64-LIN5V10</t>
        </is>
      </c>
      <c r="E319" s="40" t="inlineStr"/>
      <c r="F319" s="40" t="inlineStr">
        <is>
          <t>On-Going</t>
        </is>
      </c>
      <c r="G319" s="40" t="inlineStr">
        <is>
          <t>On-Going</t>
        </is>
      </c>
      <c r="H319" s="39" t="n">
        <v>10</v>
      </c>
      <c r="I319" s="40" t="inlineStr">
        <is>
          <t>2025-03-08</t>
        </is>
      </c>
      <c r="J319" s="40" t="inlineStr">
        <is>
          <t>2025-12-10</t>
        </is>
      </c>
      <c r="K319" s="39" t="n">
        <v>277</v>
      </c>
      <c r="L319" s="38" t="inlineStr">
        <is>
          <t>Yes</t>
        </is>
      </c>
      <c r="M319" s="40" t="inlineStr"/>
      <c r="N319" s="40" t="inlineStr">
        <is>
          <t>Application</t>
        </is>
      </c>
    </row>
    <row r="320" ht="14" customHeight="1">
      <c r="A320" s="35" t="n">
        <v>320</v>
      </c>
      <c r="B320" s="36" t="inlineStr"/>
      <c r="C320" s="36" t="inlineStr">
        <is>
          <t>DP-RDR-8164</t>
        </is>
      </c>
      <c r="D320" s="37" t="inlineStr">
        <is>
          <t>DP-RDR-8164-V1-01-AS-HOST-X86_64-W10</t>
        </is>
      </c>
      <c r="E320" s="36" t="inlineStr">
        <is>
          <t>Poovarasan S</t>
        </is>
      </c>
      <c r="F320" s="36" t="inlineStr">
        <is>
          <t>Completed</t>
        </is>
      </c>
      <c r="G320" s="36" t="inlineStr">
        <is>
          <t>Completed</t>
        </is>
      </c>
      <c r="H320" s="35" t="n">
        <v>49</v>
      </c>
      <c r="I320" s="36" t="inlineStr">
        <is>
          <t>2025-03-06</t>
        </is>
      </c>
      <c r="J320" s="36" t="inlineStr">
        <is>
          <t>2025-10-31</t>
        </is>
      </c>
      <c r="K320" s="35" t="n">
        <v>239</v>
      </c>
      <c r="L320" s="38" t="inlineStr">
        <is>
          <t>Yes</t>
        </is>
      </c>
      <c r="M320" s="36" t="inlineStr"/>
      <c r="N320" s="36" t="inlineStr">
        <is>
          <t>Application</t>
        </is>
      </c>
    </row>
    <row r="321" ht="14" customHeight="1">
      <c r="A321" s="39" t="n">
        <v>321</v>
      </c>
      <c r="B321" s="40" t="inlineStr"/>
      <c r="C321" s="40" t="inlineStr"/>
      <c r="D321" s="41" t="inlineStr">
        <is>
          <t>DP-RDR-8164-V1-01-AS-IFM-DPSPL0220-660-AARCH64-LIN5V10</t>
        </is>
      </c>
      <c r="E321" s="40" t="inlineStr"/>
      <c r="F321" s="40" t="inlineStr">
        <is>
          <t>Completed</t>
        </is>
      </c>
      <c r="G321" s="40" t="inlineStr">
        <is>
          <t>Completed</t>
        </is>
      </c>
      <c r="H321" s="39" t="n">
        <v>2</v>
      </c>
      <c r="I321" s="40" t="inlineStr">
        <is>
          <t>2025-03-12</t>
        </is>
      </c>
      <c r="J321" s="40" t="inlineStr">
        <is>
          <t>2025-04-08</t>
        </is>
      </c>
      <c r="K321" s="39" t="n">
        <v>27</v>
      </c>
      <c r="L321" s="38" t="inlineStr">
        <is>
          <t>Yes</t>
        </is>
      </c>
      <c r="M321" s="40" t="inlineStr"/>
      <c r="N321" s="40" t="inlineStr">
        <is>
          <t>Application</t>
        </is>
      </c>
    </row>
    <row r="322" ht="14" customHeight="1">
      <c r="A322" s="35" t="n">
        <v>322</v>
      </c>
      <c r="B322" s="36" t="inlineStr"/>
      <c r="C322" s="36" t="inlineStr"/>
      <c r="D322" s="37" t="inlineStr">
        <is>
          <t>DP-RDR-8164-V1-01-AS-TARGET-AARCH64-LIN5V10</t>
        </is>
      </c>
      <c r="E322" s="36" t="inlineStr"/>
      <c r="F322" s="36" t="inlineStr">
        <is>
          <t>Completed</t>
        </is>
      </c>
      <c r="G322" s="36" t="inlineStr">
        <is>
          <t>Completed</t>
        </is>
      </c>
      <c r="H322" s="35" t="n">
        <v>9</v>
      </c>
      <c r="I322" s="36" t="inlineStr">
        <is>
          <t>2025-03-06</t>
        </is>
      </c>
      <c r="J322" s="36" t="inlineStr">
        <is>
          <t>2025-08-09</t>
        </is>
      </c>
      <c r="K322" s="35" t="n">
        <v>156</v>
      </c>
      <c r="L322" s="38" t="inlineStr">
        <is>
          <t>Yes</t>
        </is>
      </c>
      <c r="M322" s="36" t="inlineStr"/>
      <c r="N322" s="36" t="inlineStr">
        <is>
          <t>Application</t>
        </is>
      </c>
    </row>
    <row r="323" ht="14" customHeight="1">
      <c r="A323" s="39" t="n">
        <v>323</v>
      </c>
      <c r="B323" s="40" t="inlineStr"/>
      <c r="C323" s="40" t="inlineStr"/>
      <c r="D323" s="41" t="inlineStr">
        <is>
          <t>DP-RDR-8164-V1-02-AS-HOST-X86_64-W10</t>
        </is>
      </c>
      <c r="E323" s="40" t="inlineStr"/>
      <c r="F323" s="40" t="inlineStr">
        <is>
          <t>Completed</t>
        </is>
      </c>
      <c r="G323" s="40" t="inlineStr">
        <is>
          <t>Completed</t>
        </is>
      </c>
      <c r="H323" s="39" t="n">
        <v>6</v>
      </c>
      <c r="I323" s="40" t="inlineStr">
        <is>
          <t>2025-03-06</t>
        </is>
      </c>
      <c r="J323" s="40" t="inlineStr">
        <is>
          <t>2025-07-08</t>
        </is>
      </c>
      <c r="K323" s="39" t="n">
        <v>124</v>
      </c>
      <c r="L323" s="38" t="inlineStr">
        <is>
          <t>Yes</t>
        </is>
      </c>
      <c r="M323" s="40" t="inlineStr"/>
      <c r="N323" s="40" t="inlineStr">
        <is>
          <t>Application</t>
        </is>
      </c>
    </row>
    <row r="324" ht="14" customHeight="1">
      <c r="A324" s="35" t="n">
        <v>324</v>
      </c>
      <c r="B324" s="36" t="inlineStr"/>
      <c r="C324" s="36" t="inlineStr"/>
      <c r="D324" s="37" t="inlineStr">
        <is>
          <t>DP-RDR-8164-V1-02-LIBS-HOST-X86_64-W10</t>
        </is>
      </c>
      <c r="E324" s="36" t="inlineStr"/>
      <c r="F324" s="36" t="inlineStr">
        <is>
          <t>Completed</t>
        </is>
      </c>
      <c r="G324" s="36" t="inlineStr">
        <is>
          <t>Completed</t>
        </is>
      </c>
      <c r="H324" s="35" t="n">
        <v>7</v>
      </c>
      <c r="I324" s="36" t="inlineStr">
        <is>
          <t>2025-03-06</t>
        </is>
      </c>
      <c r="J324" s="36" t="inlineStr">
        <is>
          <t>2025-07-08</t>
        </is>
      </c>
      <c r="K324" s="35" t="n">
        <v>124</v>
      </c>
      <c r="L324" s="38" t="inlineStr">
        <is>
          <t>Yes</t>
        </is>
      </c>
      <c r="M324" s="36" t="inlineStr"/>
      <c r="N324" s="36" t="inlineStr">
        <is>
          <t>Application</t>
        </is>
      </c>
    </row>
    <row r="325" ht="14" customHeight="1">
      <c r="A325" s="39" t="n">
        <v>325</v>
      </c>
      <c r="B325" s="40" t="inlineStr"/>
      <c r="C325" s="40" t="inlineStr"/>
      <c r="D325" s="41" t="inlineStr">
        <is>
          <t>DP-ATE-8420-V1-01-AS-SCPU-HOST-x86_64-W10</t>
        </is>
      </c>
      <c r="E325" s="40" t="inlineStr"/>
      <c r="F325" s="40" t="inlineStr">
        <is>
          <t>On-Going</t>
        </is>
      </c>
      <c r="G325" s="40" t="inlineStr">
        <is>
          <t>On-Going</t>
        </is>
      </c>
      <c r="H325" s="39" t="n">
        <v>8</v>
      </c>
      <c r="I325" s="40" t="inlineStr">
        <is>
          <t>2025-03-08</t>
        </is>
      </c>
      <c r="J325" s="40" t="inlineStr">
        <is>
          <t>2025-12-01</t>
        </is>
      </c>
      <c r="K325" s="39" t="n">
        <v>268</v>
      </c>
      <c r="L325" s="38" t="inlineStr">
        <is>
          <t>Yes</t>
        </is>
      </c>
      <c r="M325" s="40" t="inlineStr"/>
      <c r="N325" s="40" t="inlineStr">
        <is>
          <t>Application</t>
        </is>
      </c>
    </row>
    <row r="326" ht="14" customHeight="1">
      <c r="A326" s="35" t="n">
        <v>326</v>
      </c>
      <c r="B326" s="36" t="inlineStr"/>
      <c r="C326" s="36" t="inlineStr"/>
      <c r="D326" s="37" t="inlineStr">
        <is>
          <t>DP-ATE-8420-V1-01-AS-SCPU-OPU-AARCH64-LIN5V10</t>
        </is>
      </c>
      <c r="E326" s="36" t="inlineStr"/>
      <c r="F326" s="36" t="inlineStr">
        <is>
          <t>On-Going</t>
        </is>
      </c>
      <c r="G326" s="36" t="inlineStr">
        <is>
          <t>On-Going</t>
        </is>
      </c>
      <c r="H326" s="35" t="n">
        <v>29</v>
      </c>
      <c r="I326" s="36" t="inlineStr">
        <is>
          <t>2025-03-08</t>
        </is>
      </c>
      <c r="J326" s="36" t="inlineStr">
        <is>
          <t>2025-12-11</t>
        </is>
      </c>
      <c r="K326" s="35" t="n">
        <v>278</v>
      </c>
      <c r="L326" s="38" t="inlineStr">
        <is>
          <t>Yes</t>
        </is>
      </c>
      <c r="M326" s="36" t="inlineStr"/>
      <c r="N326" s="36" t="inlineStr">
        <is>
          <t>Application</t>
        </is>
      </c>
    </row>
    <row r="327" ht="14" customHeight="1">
      <c r="A327" s="39" t="n">
        <v>327</v>
      </c>
      <c r="B327" s="40" t="inlineStr"/>
      <c r="C327" s="40" t="inlineStr">
        <is>
          <t>DP-RDR-8170</t>
        </is>
      </c>
      <c r="D327" s="41" t="inlineStr">
        <is>
          <t>DP-RDR-8170-V1-01-AS-HOST-X86_64-W10</t>
        </is>
      </c>
      <c r="E327" s="40" t="inlineStr">
        <is>
          <t>Poovarasan S</t>
        </is>
      </c>
      <c r="F327" s="40" t="inlineStr">
        <is>
          <t>Completed</t>
        </is>
      </c>
      <c r="G327" s="40" t="inlineStr">
        <is>
          <t>Completed</t>
        </is>
      </c>
      <c r="H327" s="39" t="n">
        <v>33</v>
      </c>
      <c r="I327" s="40" t="inlineStr">
        <is>
          <t>2025-03-06</t>
        </is>
      </c>
      <c r="J327" s="40" t="inlineStr">
        <is>
          <t>2025-09-22</t>
        </is>
      </c>
      <c r="K327" s="39" t="n">
        <v>200</v>
      </c>
      <c r="L327" s="38" t="inlineStr">
        <is>
          <t>Yes</t>
        </is>
      </c>
      <c r="M327" s="40" t="inlineStr"/>
      <c r="N327" s="40" t="inlineStr">
        <is>
          <t>Application</t>
        </is>
      </c>
    </row>
    <row r="328" ht="14" customHeight="1">
      <c r="A328" s="35" t="n">
        <v>328</v>
      </c>
      <c r="B328" s="36" t="inlineStr"/>
      <c r="C328" s="36" t="inlineStr"/>
      <c r="D328" s="37" t="inlineStr">
        <is>
          <t>DP-RDR-8170-V1-01-AS-IFM-DPSPL0220-660-AARCH64-LIN5V10</t>
        </is>
      </c>
      <c r="E328" s="36" t="inlineStr"/>
      <c r="F328" s="36" t="inlineStr">
        <is>
          <t>Completed</t>
        </is>
      </c>
      <c r="G328" s="36" t="inlineStr">
        <is>
          <t>Completed</t>
        </is>
      </c>
      <c r="H328" s="35" t="n">
        <v>0</v>
      </c>
      <c r="I328" s="36" t="inlineStr"/>
      <c r="J328" s="36" t="inlineStr"/>
      <c r="K328" s="35" t="n">
        <v>0</v>
      </c>
      <c r="L328" s="42" t="inlineStr">
        <is>
          <t>No</t>
        </is>
      </c>
      <c r="M328" s="36" t="inlineStr"/>
      <c r="N328" s="36" t="inlineStr">
        <is>
          <t>Application</t>
        </is>
      </c>
    </row>
    <row r="329" ht="14" customHeight="1">
      <c r="A329" s="39" t="n">
        <v>329</v>
      </c>
      <c r="B329" s="40" t="inlineStr"/>
      <c r="C329" s="40" t="inlineStr"/>
      <c r="D329" s="41" t="inlineStr">
        <is>
          <t>DP-RDR-8170-V1-01-AS-TARGET-AARCH64-LIN5V10</t>
        </is>
      </c>
      <c r="E329" s="40" t="inlineStr"/>
      <c r="F329" s="40" t="inlineStr">
        <is>
          <t>Completed</t>
        </is>
      </c>
      <c r="G329" s="40" t="inlineStr">
        <is>
          <t>Completed</t>
        </is>
      </c>
      <c r="H329" s="39" t="n">
        <v>10</v>
      </c>
      <c r="I329" s="40" t="inlineStr">
        <is>
          <t>2025-03-06</t>
        </is>
      </c>
      <c r="J329" s="40" t="inlineStr">
        <is>
          <t>2025-08-09</t>
        </is>
      </c>
      <c r="K329" s="39" t="n">
        <v>156</v>
      </c>
      <c r="L329" s="38" t="inlineStr">
        <is>
          <t>Yes</t>
        </is>
      </c>
      <c r="M329" s="40" t="inlineStr"/>
      <c r="N329" s="40" t="inlineStr">
        <is>
          <t>Application</t>
        </is>
      </c>
    </row>
    <row r="330" ht="14" customHeight="1">
      <c r="A330" s="35" t="n">
        <v>330</v>
      </c>
      <c r="B330" s="36" t="inlineStr"/>
      <c r="C330" s="36" t="inlineStr"/>
      <c r="D330" s="37" t="inlineStr">
        <is>
          <t>DP-RDR-8170-V1-02-LIBS-X86_64-W10</t>
        </is>
      </c>
      <c r="E330" s="36" t="inlineStr"/>
      <c r="F330" s="36" t="inlineStr">
        <is>
          <t>Completed</t>
        </is>
      </c>
      <c r="G330" s="36" t="inlineStr">
        <is>
          <t>Completed</t>
        </is>
      </c>
      <c r="H330" s="35" t="n">
        <v>4</v>
      </c>
      <c r="I330" s="36" t="inlineStr">
        <is>
          <t>2025-03-06</t>
        </is>
      </c>
      <c r="J330" s="36" t="inlineStr">
        <is>
          <t>2025-03-20</t>
        </is>
      </c>
      <c r="K330" s="35" t="n">
        <v>14</v>
      </c>
      <c r="L330" s="38" t="inlineStr">
        <is>
          <t>Yes</t>
        </is>
      </c>
      <c r="M330" s="36" t="inlineStr"/>
      <c r="N330" s="36" t="inlineStr">
        <is>
          <t>Application</t>
        </is>
      </c>
    </row>
    <row r="331" ht="14" customHeight="1">
      <c r="A331" s="39" t="n">
        <v>331</v>
      </c>
      <c r="B331" s="40" t="inlineStr"/>
      <c r="C331" s="40" t="inlineStr"/>
      <c r="D331" s="41" t="inlineStr">
        <is>
          <t>DP-RDR-8170-V1-02-AS-HOST-X86_64-W10</t>
        </is>
      </c>
      <c r="E331" s="40" t="inlineStr"/>
      <c r="F331" s="40" t="inlineStr">
        <is>
          <t>Completed</t>
        </is>
      </c>
      <c r="G331" s="40" t="inlineStr">
        <is>
          <t>Completed</t>
        </is>
      </c>
      <c r="H331" s="39" t="n">
        <v>4</v>
      </c>
      <c r="I331" s="40" t="inlineStr">
        <is>
          <t>2025-03-06</t>
        </is>
      </c>
      <c r="J331" s="40" t="inlineStr">
        <is>
          <t>2025-03-20</t>
        </is>
      </c>
      <c r="K331" s="39" t="n">
        <v>14</v>
      </c>
      <c r="L331" s="38" t="inlineStr">
        <is>
          <t>Yes</t>
        </is>
      </c>
      <c r="M331" s="40" t="inlineStr"/>
      <c r="N331" s="40" t="inlineStr">
        <is>
          <t>Application</t>
        </is>
      </c>
    </row>
    <row r="332" ht="14" customHeight="1">
      <c r="A332" s="35" t="n">
        <v>332</v>
      </c>
      <c r="B332" s="36" t="inlineStr"/>
      <c r="C332" s="36" t="inlineStr"/>
      <c r="D332" s="37" t="inlineStr">
        <is>
          <t>DP-ATE-8420-V1-01-AS-FDBF-HOST-x86_64-W10</t>
        </is>
      </c>
      <c r="E332" s="36" t="inlineStr"/>
      <c r="F332" s="36" t="inlineStr">
        <is>
          <t>On-Going</t>
        </is>
      </c>
      <c r="G332" s="36" t="inlineStr">
        <is>
          <t>On-Going</t>
        </is>
      </c>
      <c r="H332" s="35" t="n">
        <v>20</v>
      </c>
      <c r="I332" s="36" t="inlineStr">
        <is>
          <t>2025-03-08</t>
        </is>
      </c>
      <c r="J332" s="36" t="inlineStr">
        <is>
          <t>2025-12-11</t>
        </is>
      </c>
      <c r="K332" s="35" t="n">
        <v>278</v>
      </c>
      <c r="L332" s="38" t="inlineStr">
        <is>
          <t>Yes</t>
        </is>
      </c>
      <c r="M332" s="36" t="inlineStr"/>
      <c r="N332" s="36" t="inlineStr">
        <is>
          <t>Application</t>
        </is>
      </c>
    </row>
    <row r="333" ht="14" customHeight="1">
      <c r="A333" s="39" t="n">
        <v>333</v>
      </c>
      <c r="B333" s="40" t="inlineStr"/>
      <c r="C333" s="40" t="inlineStr"/>
      <c r="D333" s="41" t="inlineStr">
        <is>
          <t>DP-ATE-8420-V1-01-AS-FDBF-OPU-AARCH64-LIN5V10</t>
        </is>
      </c>
      <c r="E333" s="40" t="inlineStr"/>
      <c r="F333" s="40" t="inlineStr">
        <is>
          <t>On-Going</t>
        </is>
      </c>
      <c r="G333" s="40" t="inlineStr">
        <is>
          <t>On-Going</t>
        </is>
      </c>
      <c r="H333" s="39" t="n">
        <v>6</v>
      </c>
      <c r="I333" s="40" t="inlineStr">
        <is>
          <t>2025-03-08</t>
        </is>
      </c>
      <c r="J333" s="40" t="inlineStr">
        <is>
          <t>2025-12-10</t>
        </is>
      </c>
      <c r="K333" s="39" t="n">
        <v>277</v>
      </c>
      <c r="L333" s="38" t="inlineStr">
        <is>
          <t>Yes</t>
        </is>
      </c>
      <c r="M333" s="40" t="inlineStr"/>
      <c r="N333" s="40" t="inlineStr">
        <is>
          <t>Application</t>
        </is>
      </c>
    </row>
    <row r="334" ht="14" customHeight="1">
      <c r="A334" s="35" t="n">
        <v>334</v>
      </c>
      <c r="B334" s="36" t="inlineStr"/>
      <c r="C334" s="36" t="inlineStr">
        <is>
          <t>DP-SPU-8019</t>
        </is>
      </c>
      <c r="D334" s="37" t="inlineStr">
        <is>
          <t>DP-SPU-8019-V1-01-AS-HOST-X86_64-W10</t>
        </is>
      </c>
      <c r="E334" s="36" t="inlineStr">
        <is>
          <t>Rajesh P</t>
        </is>
      </c>
      <c r="F334" s="36" t="inlineStr">
        <is>
          <t>Completed</t>
        </is>
      </c>
      <c r="G334" s="36" t="inlineStr">
        <is>
          <t>Completed</t>
        </is>
      </c>
      <c r="H334" s="35" t="n">
        <v>3</v>
      </c>
      <c r="I334" s="36" t="inlineStr">
        <is>
          <t>2025-03-10</t>
        </is>
      </c>
      <c r="J334" s="36" t="inlineStr">
        <is>
          <t>2025-09-02</t>
        </is>
      </c>
      <c r="K334" s="35" t="n">
        <v>176</v>
      </c>
      <c r="L334" s="38" t="inlineStr">
        <is>
          <t>Yes</t>
        </is>
      </c>
      <c r="M334" s="36" t="inlineStr"/>
      <c r="N334" s="36" t="inlineStr">
        <is>
          <t>Application</t>
        </is>
      </c>
    </row>
    <row r="335" ht="14" customHeight="1">
      <c r="A335" s="39" t="n">
        <v>335</v>
      </c>
      <c r="B335" s="40" t="inlineStr"/>
      <c r="C335" s="40" t="inlineStr"/>
      <c r="D335" s="41" t="inlineStr">
        <is>
          <t>DP-SPU-8019-V1-01-AS-TARGET-DPVPX0753-RHEL9V2</t>
        </is>
      </c>
      <c r="E335" s="40" t="inlineStr"/>
      <c r="F335" s="40" t="inlineStr">
        <is>
          <t>Completed</t>
        </is>
      </c>
      <c r="G335" s="40" t="inlineStr">
        <is>
          <t>Completed</t>
        </is>
      </c>
      <c r="H335" s="39" t="n">
        <v>5</v>
      </c>
      <c r="I335" s="40" t="inlineStr">
        <is>
          <t>2025-01-24</t>
        </is>
      </c>
      <c r="J335" s="40" t="inlineStr">
        <is>
          <t>2025-05-20</t>
        </is>
      </c>
      <c r="K335" s="39" t="n">
        <v>116</v>
      </c>
      <c r="L335" s="38" t="inlineStr">
        <is>
          <t>Yes</t>
        </is>
      </c>
      <c r="M335" s="40" t="inlineStr"/>
      <c r="N335" s="40" t="inlineStr">
        <is>
          <t>Application</t>
        </is>
      </c>
    </row>
    <row r="336" ht="14" customHeight="1">
      <c r="A336" s="35" t="n">
        <v>336</v>
      </c>
      <c r="B336" s="36" t="inlineStr"/>
      <c r="C336" s="36" t="inlineStr"/>
      <c r="D336" s="37" t="inlineStr">
        <is>
          <t>DP-ATE-8420-V1-01-AS-SPU-HOST-x86_64-W10</t>
        </is>
      </c>
      <c r="E336" s="36" t="inlineStr"/>
      <c r="F336" s="36" t="inlineStr">
        <is>
          <t>On-Going</t>
        </is>
      </c>
      <c r="G336" s="36" t="inlineStr">
        <is>
          <t>On-Going</t>
        </is>
      </c>
      <c r="H336" s="35" t="n">
        <v>1</v>
      </c>
      <c r="I336" s="36" t="inlineStr">
        <is>
          <t>2025-06-30</t>
        </is>
      </c>
      <c r="J336" s="36" t="inlineStr">
        <is>
          <t>2025-06-30</t>
        </is>
      </c>
      <c r="K336" s="35" t="n">
        <v>0</v>
      </c>
      <c r="L336" s="38" t="inlineStr">
        <is>
          <t>Yes</t>
        </is>
      </c>
      <c r="M336" s="36" t="inlineStr"/>
      <c r="N336" s="36" t="inlineStr">
        <is>
          <t>Application</t>
        </is>
      </c>
    </row>
    <row r="337" ht="14" customHeight="1">
      <c r="A337" s="39" t="n">
        <v>337</v>
      </c>
      <c r="B337" s="40" t="inlineStr"/>
      <c r="C337" s="40" t="inlineStr"/>
      <c r="D337" s="41" t="inlineStr">
        <is>
          <t>DP-ATE-8420-V1-01-AS-SPU-TARGET-DPVPX0753-RHEL9V2</t>
        </is>
      </c>
      <c r="E337" s="40" t="inlineStr"/>
      <c r="F337" s="40" t="inlineStr">
        <is>
          <t>On-Going</t>
        </is>
      </c>
      <c r="G337" s="40" t="inlineStr">
        <is>
          <t>On-Going</t>
        </is>
      </c>
      <c r="H337" s="39" t="n">
        <v>1</v>
      </c>
      <c r="I337" s="40" t="inlineStr">
        <is>
          <t>2025-06-30</t>
        </is>
      </c>
      <c r="J337" s="40" t="inlineStr">
        <is>
          <t>2025-06-30</t>
        </is>
      </c>
      <c r="K337" s="39" t="n">
        <v>0</v>
      </c>
      <c r="L337" s="38" t="inlineStr">
        <is>
          <t>Yes</t>
        </is>
      </c>
      <c r="M337" s="40" t="inlineStr"/>
      <c r="N337" s="40" t="inlineStr">
        <is>
          <t>Application</t>
        </is>
      </c>
    </row>
    <row r="338" ht="14" customHeight="1">
      <c r="A338" s="35" t="n">
        <v>338</v>
      </c>
      <c r="B338" s="36" t="inlineStr"/>
      <c r="C338" s="36" t="inlineStr"/>
      <c r="D338" s="37" t="inlineStr">
        <is>
          <t>DP-ATE-8420-V1-01-AS-SPU-OPU-AARCH64-LIN5V10</t>
        </is>
      </c>
      <c r="E338" s="36" t="inlineStr"/>
      <c r="F338" s="36" t="inlineStr">
        <is>
          <t>On-Going</t>
        </is>
      </c>
      <c r="G338" s="36" t="inlineStr">
        <is>
          <t>On-Going</t>
        </is>
      </c>
      <c r="H338" s="35" t="n">
        <v>0</v>
      </c>
      <c r="I338" s="36" t="inlineStr"/>
      <c r="J338" s="36" t="inlineStr"/>
      <c r="K338" s="35" t="n">
        <v>0</v>
      </c>
      <c r="L338" s="42" t="inlineStr">
        <is>
          <t>No</t>
        </is>
      </c>
      <c r="M338" s="36" t="inlineStr"/>
      <c r="N338" s="36" t="inlineStr">
        <is>
          <t>Application</t>
        </is>
      </c>
    </row>
    <row r="339" ht="14" customHeight="1">
      <c r="A339" s="39" t="n">
        <v>339</v>
      </c>
      <c r="B339" s="40" t="inlineStr"/>
      <c r="C339" s="40" t="inlineStr">
        <is>
          <t>DP-DTRM-8019</t>
        </is>
      </c>
      <c r="D339" s="41" t="inlineStr">
        <is>
          <t>DP-DTRM-8019-V1-01-AS-HOST-X86_64-W10</t>
        </is>
      </c>
      <c r="E339" s="40" t="inlineStr">
        <is>
          <t>Yashenth A M</t>
        </is>
      </c>
      <c r="F339" s="40" t="inlineStr">
        <is>
          <t>Completed</t>
        </is>
      </c>
      <c r="G339" s="40" t="inlineStr">
        <is>
          <t>Completed</t>
        </is>
      </c>
      <c r="H339" s="39" t="n">
        <v>4</v>
      </c>
      <c r="I339" s="40" t="inlineStr">
        <is>
          <t>2025-01-24</t>
        </is>
      </c>
      <c r="J339" s="40" t="inlineStr">
        <is>
          <t>2025-08-07</t>
        </is>
      </c>
      <c r="K339" s="39" t="n">
        <v>195</v>
      </c>
      <c r="L339" s="38" t="inlineStr">
        <is>
          <t>Yes</t>
        </is>
      </c>
      <c r="M339" s="40" t="inlineStr"/>
      <c r="N339" s="40" t="inlineStr">
        <is>
          <t>Application</t>
        </is>
      </c>
    </row>
    <row r="340" ht="14" customHeight="1">
      <c r="A340" s="35" t="n">
        <v>340</v>
      </c>
      <c r="B340" s="36" t="inlineStr"/>
      <c r="C340" s="36" t="inlineStr"/>
      <c r="D340" s="37" t="inlineStr">
        <is>
          <t>DP-DTRM-8019-V1-01-AS-IFM-DPSPL0220-660-AARCH64-LIN5V10</t>
        </is>
      </c>
      <c r="E340" s="36" t="inlineStr"/>
      <c r="F340" s="36" t="inlineStr">
        <is>
          <t>Completed</t>
        </is>
      </c>
      <c r="G340" s="36" t="inlineStr">
        <is>
          <t>Completed</t>
        </is>
      </c>
      <c r="H340" s="35" t="n">
        <v>0</v>
      </c>
      <c r="I340" s="36" t="inlineStr"/>
      <c r="J340" s="36" t="inlineStr"/>
      <c r="K340" s="35" t="n">
        <v>0</v>
      </c>
      <c r="L340" s="42" t="inlineStr">
        <is>
          <t>No</t>
        </is>
      </c>
      <c r="M340" s="36" t="inlineStr"/>
      <c r="N340" s="36" t="inlineStr">
        <is>
          <t>Application</t>
        </is>
      </c>
    </row>
    <row r="341" ht="14" customHeight="1">
      <c r="A341" s="39" t="n">
        <v>341</v>
      </c>
      <c r="B341" s="40" t="inlineStr"/>
      <c r="C341" s="40" t="inlineStr"/>
      <c r="D341" s="41" t="inlineStr">
        <is>
          <t>DP-DTRM-8019-V1-02-AS-HOST-X86_64-W10</t>
        </is>
      </c>
      <c r="E341" s="40" t="inlineStr"/>
      <c r="F341" s="40" t="inlineStr">
        <is>
          <t>Completed</t>
        </is>
      </c>
      <c r="G341" s="40" t="inlineStr">
        <is>
          <t>Completed</t>
        </is>
      </c>
      <c r="H341" s="39" t="n">
        <v>2</v>
      </c>
      <c r="I341" s="40" t="inlineStr">
        <is>
          <t>2025-01-24</t>
        </is>
      </c>
      <c r="J341" s="40" t="inlineStr">
        <is>
          <t>2025-01-24</t>
        </is>
      </c>
      <c r="K341" s="39" t="n">
        <v>0</v>
      </c>
      <c r="L341" s="38" t="inlineStr">
        <is>
          <t>Yes</t>
        </is>
      </c>
      <c r="M341" s="40" t="inlineStr"/>
      <c r="N341" s="40" t="inlineStr">
        <is>
          <t>Application</t>
        </is>
      </c>
    </row>
    <row r="342" ht="14" customHeight="1">
      <c r="A342" s="35" t="n">
        <v>342</v>
      </c>
      <c r="B342" s="36" t="inlineStr"/>
      <c r="C342" s="36" t="inlineStr"/>
      <c r="D342" s="37" t="inlineStr">
        <is>
          <t>DP-DTRM-8019-V1-02-LIBS-X86_64-W10</t>
        </is>
      </c>
      <c r="E342" s="36" t="inlineStr"/>
      <c r="F342" s="36" t="inlineStr">
        <is>
          <t>Completed</t>
        </is>
      </c>
      <c r="G342" s="36" t="inlineStr">
        <is>
          <t>Completed</t>
        </is>
      </c>
      <c r="H342" s="35" t="n">
        <v>3</v>
      </c>
      <c r="I342" s="36" t="inlineStr">
        <is>
          <t>2025-01-24</t>
        </is>
      </c>
      <c r="J342" s="36" t="inlineStr">
        <is>
          <t>2025-01-29</t>
        </is>
      </c>
      <c r="K342" s="35" t="n">
        <v>5</v>
      </c>
      <c r="L342" s="38" t="inlineStr">
        <is>
          <t>Yes</t>
        </is>
      </c>
      <c r="M342" s="36" t="inlineStr"/>
      <c r="N342" s="36" t="inlineStr">
        <is>
          <t>Application</t>
        </is>
      </c>
    </row>
    <row r="343" ht="14" customHeight="1">
      <c r="A343" s="39" t="n">
        <v>343</v>
      </c>
      <c r="B343" s="40" t="inlineStr"/>
      <c r="C343" s="40" t="inlineStr"/>
      <c r="D343" s="41" t="inlineStr">
        <is>
          <t>DP-ATE-8420-V1-01-AS-ODTRM-HOST-x86_64-W10</t>
        </is>
      </c>
      <c r="E343" s="40" t="inlineStr"/>
      <c r="F343" s="40" t="inlineStr">
        <is>
          <t>On-Going</t>
        </is>
      </c>
      <c r="G343" s="40" t="inlineStr">
        <is>
          <t>On-Going</t>
        </is>
      </c>
      <c r="H343" s="39" t="n">
        <v>0</v>
      </c>
      <c r="I343" s="40" t="inlineStr"/>
      <c r="J343" s="40" t="inlineStr"/>
      <c r="K343" s="39" t="n">
        <v>0</v>
      </c>
      <c r="L343" s="42" t="inlineStr">
        <is>
          <t>No</t>
        </is>
      </c>
      <c r="M343" s="40" t="inlineStr"/>
      <c r="N343" s="40" t="inlineStr">
        <is>
          <t>Application</t>
        </is>
      </c>
    </row>
    <row r="344" ht="14" customHeight="1">
      <c r="A344" s="35" t="n">
        <v>344</v>
      </c>
      <c r="B344" s="36" t="inlineStr"/>
      <c r="C344" s="36" t="inlineStr"/>
      <c r="D344" s="37" t="inlineStr">
        <is>
          <t>DP-ATE-8420-V1-01-AS-ODTRM-OPU-AARCH64-LIN5V10</t>
        </is>
      </c>
      <c r="E344" s="36" t="inlineStr"/>
      <c r="F344" s="36" t="inlineStr">
        <is>
          <t>On-Going</t>
        </is>
      </c>
      <c r="G344" s="36" t="inlineStr">
        <is>
          <t>On-Going</t>
        </is>
      </c>
      <c r="H344" s="35" t="n">
        <v>0</v>
      </c>
      <c r="I344" s="36" t="inlineStr"/>
      <c r="J344" s="36" t="inlineStr"/>
      <c r="K344" s="35" t="n">
        <v>0</v>
      </c>
      <c r="L344" s="42" t="inlineStr">
        <is>
          <t>No</t>
        </is>
      </c>
      <c r="M344" s="36" t="inlineStr"/>
      <c r="N344" s="36" t="inlineStr">
        <is>
          <t>Application</t>
        </is>
      </c>
    </row>
    <row r="345" ht="14" customHeight="1">
      <c r="A345" s="39" t="n">
        <v>345</v>
      </c>
      <c r="B345" s="40" t="inlineStr"/>
      <c r="C345" s="40" t="inlineStr">
        <is>
          <t>DP-DRM-8011</t>
        </is>
      </c>
      <c r="D345" s="41" t="inlineStr">
        <is>
          <t>DP-DRM-8011-V1-01-AS-HOST-X86_64-W10</t>
        </is>
      </c>
      <c r="E345" s="40" t="inlineStr">
        <is>
          <t>Yashenth A M</t>
        </is>
      </c>
      <c r="F345" s="40" t="inlineStr">
        <is>
          <t>Completed</t>
        </is>
      </c>
      <c r="G345" s="40" t="inlineStr">
        <is>
          <t>Completed</t>
        </is>
      </c>
      <c r="H345" s="39" t="n">
        <v>10</v>
      </c>
      <c r="I345" s="40" t="inlineStr">
        <is>
          <t>2025-02-11</t>
        </is>
      </c>
      <c r="J345" s="40" t="inlineStr">
        <is>
          <t>2025-08-18</t>
        </is>
      </c>
      <c r="K345" s="39" t="n">
        <v>188</v>
      </c>
      <c r="L345" s="38" t="inlineStr">
        <is>
          <t>Yes</t>
        </is>
      </c>
      <c r="M345" s="40" t="inlineStr"/>
      <c r="N345" s="40" t="inlineStr">
        <is>
          <t>Application</t>
        </is>
      </c>
    </row>
    <row r="346" ht="14" customHeight="1">
      <c r="A346" s="35" t="n">
        <v>346</v>
      </c>
      <c r="B346" s="36" t="inlineStr"/>
      <c r="C346" s="36" t="inlineStr"/>
      <c r="D346" s="37" t="inlineStr">
        <is>
          <t>DP-DRM-8011-V1-02-AS-HOST-X86_64-W10</t>
        </is>
      </c>
      <c r="E346" s="36" t="inlineStr"/>
      <c r="F346" s="36" t="inlineStr">
        <is>
          <t>Completed</t>
        </is>
      </c>
      <c r="G346" s="36" t="inlineStr">
        <is>
          <t>Completed</t>
        </is>
      </c>
      <c r="H346" s="35" t="n">
        <v>0</v>
      </c>
      <c r="I346" s="36" t="inlineStr"/>
      <c r="J346" s="36" t="inlineStr"/>
      <c r="K346" s="35" t="n">
        <v>0</v>
      </c>
      <c r="L346" s="42" t="inlineStr">
        <is>
          <t>No</t>
        </is>
      </c>
      <c r="M346" s="36" t="inlineStr"/>
      <c r="N346" s="36" t="inlineStr">
        <is>
          <t>Application</t>
        </is>
      </c>
    </row>
    <row r="347" ht="14" customHeight="1">
      <c r="A347" s="39" t="n">
        <v>347</v>
      </c>
      <c r="B347" s="40" t="inlineStr"/>
      <c r="C347" s="40" t="inlineStr"/>
      <c r="D347" s="41" t="inlineStr">
        <is>
          <t>DP-DRM-8011-V1-02-LIBS-X86_64-W10</t>
        </is>
      </c>
      <c r="E347" s="40" t="inlineStr"/>
      <c r="F347" s="40" t="inlineStr">
        <is>
          <t>Completed</t>
        </is>
      </c>
      <c r="G347" s="40" t="inlineStr">
        <is>
          <t>Completed</t>
        </is>
      </c>
      <c r="H347" s="39" t="n">
        <v>0</v>
      </c>
      <c r="I347" s="40" t="inlineStr"/>
      <c r="J347" s="40" t="inlineStr"/>
      <c r="K347" s="39" t="n">
        <v>0</v>
      </c>
      <c r="L347" s="42" t="inlineStr">
        <is>
          <t>No</t>
        </is>
      </c>
      <c r="M347" s="40" t="inlineStr"/>
      <c r="N347" s="40" t="inlineStr">
        <is>
          <t>Application</t>
        </is>
      </c>
    </row>
    <row r="348" ht="14" customHeight="1">
      <c r="A348" s="35" t="n">
        <v>348</v>
      </c>
      <c r="B348" s="36" t="inlineStr"/>
      <c r="C348" s="36" t="inlineStr"/>
      <c r="D348" s="37" t="inlineStr">
        <is>
          <t>DP-ATE-8420-V1-01-AS-ODRM-HOST-x86_64-W10</t>
        </is>
      </c>
      <c r="E348" s="36" t="inlineStr"/>
      <c r="F348" s="36" t="inlineStr">
        <is>
          <t>On-Going</t>
        </is>
      </c>
      <c r="G348" s="36" t="inlineStr">
        <is>
          <t>On-Going</t>
        </is>
      </c>
      <c r="H348" s="35" t="n">
        <v>9</v>
      </c>
      <c r="I348" s="36" t="inlineStr">
        <is>
          <t>2025-02-11</t>
        </is>
      </c>
      <c r="J348" s="36" t="inlineStr">
        <is>
          <t>2025-06-05</t>
        </is>
      </c>
      <c r="K348" s="35" t="n">
        <v>114</v>
      </c>
      <c r="L348" s="38" t="inlineStr">
        <is>
          <t>Yes</t>
        </is>
      </c>
      <c r="M348" s="36" t="inlineStr"/>
      <c r="N348" s="36" t="inlineStr">
        <is>
          <t>Application</t>
        </is>
      </c>
    </row>
    <row r="349" ht="14" customHeight="1">
      <c r="A349" s="39" t="n">
        <v>349</v>
      </c>
      <c r="B349" s="40" t="inlineStr"/>
      <c r="C349" s="40" t="inlineStr">
        <is>
          <t>DP-ATE-8420</t>
        </is>
      </c>
      <c r="D349" s="41" t="inlineStr">
        <is>
          <t>DP-ATE-8420-V1-01-AS-ST-HOST-x64-W10</t>
        </is>
      </c>
      <c r="E349" s="40" t="inlineStr">
        <is>
          <t>Rajesh P</t>
        </is>
      </c>
      <c r="F349" s="40" t="inlineStr">
        <is>
          <t>On-Going</t>
        </is>
      </c>
      <c r="G349" s="40" t="inlineStr">
        <is>
          <t>On-Going</t>
        </is>
      </c>
      <c r="H349" s="39" t="n">
        <v>15</v>
      </c>
      <c r="I349" s="40" t="inlineStr">
        <is>
          <t>2025-06-03</t>
        </is>
      </c>
      <c r="J349" s="40" t="inlineStr">
        <is>
          <t>2026-01-05</t>
        </is>
      </c>
      <c r="K349" s="39" t="n">
        <v>216</v>
      </c>
      <c r="L349" s="38" t="inlineStr">
        <is>
          <t>Yes</t>
        </is>
      </c>
      <c r="M349" s="40" t="inlineStr"/>
      <c r="N349" s="40" t="inlineStr">
        <is>
          <t>Application</t>
        </is>
      </c>
    </row>
    <row r="350" ht="14" customHeight="1">
      <c r="A350" s="35" t="n">
        <v>350</v>
      </c>
      <c r="B350" s="36" t="inlineStr">
        <is>
          <t>YEC2693</t>
        </is>
      </c>
      <c r="C350" s="36" t="inlineStr">
        <is>
          <t>DP-RDR-8161</t>
        </is>
      </c>
      <c r="D350" s="37" t="inlineStr">
        <is>
          <t>DP-RDR-8161-V1-01-AS-HOST-X86_64-W10</t>
        </is>
      </c>
      <c r="E350" s="36" t="inlineStr">
        <is>
          <t>Sridhar J</t>
        </is>
      </c>
      <c r="F350" s="36" t="inlineStr">
        <is>
          <t>Completed</t>
        </is>
      </c>
      <c r="G350" s="36" t="inlineStr">
        <is>
          <t>Completed</t>
        </is>
      </c>
      <c r="H350" s="35" t="n">
        <v>3</v>
      </c>
      <c r="I350" s="36" t="inlineStr">
        <is>
          <t>2025-05-22</t>
        </is>
      </c>
      <c r="J350" s="36" t="inlineStr">
        <is>
          <t>2025-05-22</t>
        </is>
      </c>
      <c r="K350" s="35" t="n">
        <v>0</v>
      </c>
      <c r="L350" s="38" t="inlineStr">
        <is>
          <t>Yes</t>
        </is>
      </c>
      <c r="M350" s="36" t="inlineStr"/>
      <c r="N350" s="36" t="inlineStr">
        <is>
          <t>Application</t>
        </is>
      </c>
    </row>
    <row r="351" ht="14" customHeight="1">
      <c r="A351" s="39" t="n">
        <v>351</v>
      </c>
      <c r="B351" s="40" t="inlineStr"/>
      <c r="C351" s="40" t="inlineStr"/>
      <c r="D351" s="41" t="inlineStr">
        <is>
          <t>DP-RDR-8161-V1-01-AS-TARGET-AARCH64-LIN5V10</t>
        </is>
      </c>
      <c r="E351" s="40" t="inlineStr"/>
      <c r="F351" s="40" t="inlineStr">
        <is>
          <t>Completed</t>
        </is>
      </c>
      <c r="G351" s="40" t="inlineStr">
        <is>
          <t>Completed</t>
        </is>
      </c>
      <c r="H351" s="39" t="n">
        <v>2</v>
      </c>
      <c r="I351" s="40" t="inlineStr">
        <is>
          <t>2025-05-22</t>
        </is>
      </c>
      <c r="J351" s="40" t="inlineStr">
        <is>
          <t>2025-05-22</t>
        </is>
      </c>
      <c r="K351" s="39" t="n">
        <v>0</v>
      </c>
      <c r="L351" s="38" t="inlineStr">
        <is>
          <t>Yes</t>
        </is>
      </c>
      <c r="M351" s="40" t="inlineStr"/>
      <c r="N351" s="40" t="inlineStr">
        <is>
          <t>Application</t>
        </is>
      </c>
    </row>
    <row r="352" ht="14" customHeight="1">
      <c r="A352" s="35" t="n">
        <v>352</v>
      </c>
      <c r="B352" s="36" t="inlineStr"/>
      <c r="C352" s="36" t="inlineStr">
        <is>
          <t>DP-RDR-8176</t>
        </is>
      </c>
      <c r="D352" s="37" t="inlineStr">
        <is>
          <t>DP-RDR-8176-V1-01-LIBS-X86_64-W10</t>
        </is>
      </c>
      <c r="E352" s="36" t="inlineStr">
        <is>
          <t>Sridhar J</t>
        </is>
      </c>
      <c r="F352" s="36" t="inlineStr">
        <is>
          <t>Completed</t>
        </is>
      </c>
      <c r="G352" s="36" t="inlineStr">
        <is>
          <t>Completed</t>
        </is>
      </c>
      <c r="H352" s="35" t="n">
        <v>2</v>
      </c>
      <c r="I352" s="36" t="inlineStr">
        <is>
          <t>2025-05-22</t>
        </is>
      </c>
      <c r="J352" s="36" t="inlineStr">
        <is>
          <t>2025-05-22</t>
        </is>
      </c>
      <c r="K352" s="35" t="n">
        <v>0</v>
      </c>
      <c r="L352" s="38" t="inlineStr">
        <is>
          <t>Yes</t>
        </is>
      </c>
      <c r="M352" s="36" t="inlineStr"/>
      <c r="N352" s="36" t="inlineStr">
        <is>
          <t>Application</t>
        </is>
      </c>
    </row>
    <row r="353" ht="14" customHeight="1">
      <c r="A353" s="39" t="n">
        <v>353</v>
      </c>
      <c r="B353" s="40" t="inlineStr"/>
      <c r="C353" s="40" t="inlineStr"/>
      <c r="D353" s="41" t="inlineStr">
        <is>
          <t>DP-RDR-8176-V1-01-AS-X86_64-W10</t>
        </is>
      </c>
      <c r="E353" s="40" t="inlineStr"/>
      <c r="F353" s="40" t="inlineStr">
        <is>
          <t>Completed</t>
        </is>
      </c>
      <c r="G353" s="40" t="inlineStr">
        <is>
          <t>Completed</t>
        </is>
      </c>
      <c r="H353" s="39" t="n">
        <v>2</v>
      </c>
      <c r="I353" s="40" t="inlineStr">
        <is>
          <t>2025-05-22</t>
        </is>
      </c>
      <c r="J353" s="40" t="inlineStr">
        <is>
          <t>2025-05-22</t>
        </is>
      </c>
      <c r="K353" s="39" t="n">
        <v>0</v>
      </c>
      <c r="L353" s="38" t="inlineStr">
        <is>
          <t>Yes</t>
        </is>
      </c>
      <c r="M353" s="40" t="inlineStr"/>
      <c r="N353" s="40" t="inlineStr">
        <is>
          <t>Application</t>
        </is>
      </c>
    </row>
    <row r="354" ht="14" customHeight="1">
      <c r="A354" s="35" t="n">
        <v>354</v>
      </c>
      <c r="B354" s="36" t="inlineStr"/>
      <c r="C354" s="36" t="inlineStr"/>
      <c r="D354" s="37" t="inlineStr">
        <is>
          <t>DP-RDR-8176-V1-02-AS-X86_64-W10</t>
        </is>
      </c>
      <c r="E354" s="36" t="inlineStr"/>
      <c r="F354" s="36" t="inlineStr">
        <is>
          <t>Completed</t>
        </is>
      </c>
      <c r="G354" s="36" t="inlineStr">
        <is>
          <t>Completed</t>
        </is>
      </c>
      <c r="H354" s="35" t="n">
        <v>0</v>
      </c>
      <c r="I354" s="36" t="inlineStr"/>
      <c r="J354" s="36" t="inlineStr"/>
      <c r="K354" s="35" t="n">
        <v>0</v>
      </c>
      <c r="L354" s="42" t="inlineStr">
        <is>
          <t>No</t>
        </is>
      </c>
      <c r="M354" s="36" t="inlineStr"/>
      <c r="N354" s="36" t="inlineStr">
        <is>
          <t>Application</t>
        </is>
      </c>
    </row>
    <row r="355" ht="14" customHeight="1">
      <c r="A355" s="39" t="n">
        <v>355</v>
      </c>
      <c r="B355" s="40" t="inlineStr"/>
      <c r="C355" s="40" t="inlineStr"/>
      <c r="D355" s="41" t="inlineStr">
        <is>
          <t>DP-ATE-8423-V1-01-LIBS-CMM-X86_64-W10</t>
        </is>
      </c>
      <c r="E355" s="40" t="inlineStr"/>
      <c r="F355" s="40" t="inlineStr">
        <is>
          <t>On-Going</t>
        </is>
      </c>
      <c r="G355" s="40" t="inlineStr">
        <is>
          <t>On-Going</t>
        </is>
      </c>
      <c r="H355" s="39" t="n">
        <v>2</v>
      </c>
      <c r="I355" s="40" t="inlineStr">
        <is>
          <t>2025-06-05</t>
        </is>
      </c>
      <c r="J355" s="40" t="inlineStr">
        <is>
          <t>2025-06-06</t>
        </is>
      </c>
      <c r="K355" s="39" t="n">
        <v>1</v>
      </c>
      <c r="L355" s="38" t="inlineStr">
        <is>
          <t>Yes</t>
        </is>
      </c>
      <c r="M355" s="40" t="inlineStr"/>
      <c r="N355" s="40" t="inlineStr">
        <is>
          <t>Application</t>
        </is>
      </c>
    </row>
    <row r="356" ht="14" customHeight="1">
      <c r="A356" s="35" t="n">
        <v>356</v>
      </c>
      <c r="B356" s="36" t="inlineStr"/>
      <c r="C356" s="36" t="inlineStr"/>
      <c r="D356" s="37" t="inlineStr">
        <is>
          <t>DP-ATE-8423-V1-01-AS-CMM-X86_64-W10</t>
        </is>
      </c>
      <c r="E356" s="36" t="inlineStr"/>
      <c r="F356" s="36" t="inlineStr">
        <is>
          <t>On-Going</t>
        </is>
      </c>
      <c r="G356" s="36" t="inlineStr">
        <is>
          <t>On-Going</t>
        </is>
      </c>
      <c r="H356" s="35" t="n">
        <v>5</v>
      </c>
      <c r="I356" s="36" t="inlineStr">
        <is>
          <t>2025-06-05</t>
        </is>
      </c>
      <c r="J356" s="36" t="inlineStr">
        <is>
          <t>2025-08-25</t>
        </is>
      </c>
      <c r="K356" s="35" t="n">
        <v>81</v>
      </c>
      <c r="L356" s="38" t="inlineStr">
        <is>
          <t>Yes</t>
        </is>
      </c>
      <c r="M356" s="36" t="inlineStr"/>
      <c r="N356" s="36" t="inlineStr">
        <is>
          <t>Application</t>
        </is>
      </c>
    </row>
    <row r="357" ht="14" customHeight="1">
      <c r="A357" s="39" t="n">
        <v>357</v>
      </c>
      <c r="B357" s="40" t="inlineStr"/>
      <c r="C357" s="40" t="inlineStr"/>
      <c r="D357" s="41" t="inlineStr">
        <is>
          <t>DP-ATE-8423-V1-01-AS-OPU-AARCH64-LIN5V10</t>
        </is>
      </c>
      <c r="E357" s="40" t="inlineStr"/>
      <c r="F357" s="40" t="inlineStr">
        <is>
          <t>On-Going</t>
        </is>
      </c>
      <c r="G357" s="40" t="inlineStr">
        <is>
          <t>On-Going</t>
        </is>
      </c>
      <c r="H357" s="39" t="n">
        <v>0</v>
      </c>
      <c r="I357" s="40" t="inlineStr"/>
      <c r="J357" s="40" t="inlineStr"/>
      <c r="K357" s="39" t="n">
        <v>0</v>
      </c>
      <c r="L357" s="42" t="inlineStr">
        <is>
          <t>No</t>
        </is>
      </c>
      <c r="M357" s="40" t="inlineStr"/>
      <c r="N357" s="40" t="inlineStr">
        <is>
          <t>Application</t>
        </is>
      </c>
    </row>
    <row r="358" ht="14" customHeight="1">
      <c r="A358" s="35" t="n">
        <v>358</v>
      </c>
      <c r="B358" s="36" t="inlineStr"/>
      <c r="C358" s="36" t="inlineStr">
        <is>
          <t>DP-RDR-8179</t>
        </is>
      </c>
      <c r="D358" s="37" t="inlineStr">
        <is>
          <t>DP-RDR-8179-V1-01-LIBS-X86_64-W10</t>
        </is>
      </c>
      <c r="E358" s="36" t="inlineStr">
        <is>
          <t>Rajendrakumar S</t>
        </is>
      </c>
      <c r="F358" s="36" t="inlineStr">
        <is>
          <t>Completed</t>
        </is>
      </c>
      <c r="G358" s="36" t="inlineStr">
        <is>
          <t>Completed</t>
        </is>
      </c>
      <c r="H358" s="35" t="n">
        <v>3</v>
      </c>
      <c r="I358" s="36" t="inlineStr">
        <is>
          <t>2025-05-22</t>
        </is>
      </c>
      <c r="J358" s="36" t="inlineStr">
        <is>
          <t>2025-05-28</t>
        </is>
      </c>
      <c r="K358" s="35" t="n">
        <v>6</v>
      </c>
      <c r="L358" s="38" t="inlineStr">
        <is>
          <t>Yes</t>
        </is>
      </c>
      <c r="M358" s="36" t="inlineStr"/>
      <c r="N358" s="36" t="inlineStr">
        <is>
          <t>Application</t>
        </is>
      </c>
    </row>
    <row r="359" ht="14" customHeight="1">
      <c r="A359" s="39" t="n">
        <v>359</v>
      </c>
      <c r="B359" s="40" t="inlineStr"/>
      <c r="C359" s="40" t="inlineStr"/>
      <c r="D359" s="41" t="inlineStr">
        <is>
          <t>DP-RDR-8179-V1-01-AS-X86_64-W10</t>
        </is>
      </c>
      <c r="E359" s="40" t="inlineStr"/>
      <c r="F359" s="40" t="inlineStr">
        <is>
          <t>Completed</t>
        </is>
      </c>
      <c r="G359" s="40" t="inlineStr">
        <is>
          <t>Completed</t>
        </is>
      </c>
      <c r="H359" s="39" t="n">
        <v>2</v>
      </c>
      <c r="I359" s="40" t="inlineStr">
        <is>
          <t>2025-05-22</t>
        </is>
      </c>
      <c r="J359" s="40" t="inlineStr">
        <is>
          <t>2025-05-22</t>
        </is>
      </c>
      <c r="K359" s="39" t="n">
        <v>0</v>
      </c>
      <c r="L359" s="38" t="inlineStr">
        <is>
          <t>Yes</t>
        </is>
      </c>
      <c r="M359" s="40" t="inlineStr"/>
      <c r="N359" s="40" t="inlineStr">
        <is>
          <t>Application</t>
        </is>
      </c>
    </row>
    <row r="360" ht="14" customHeight="1">
      <c r="A360" s="35" t="n">
        <v>360</v>
      </c>
      <c r="B360" s="36" t="inlineStr"/>
      <c r="C360" s="36" t="inlineStr"/>
      <c r="D360" s="37" t="inlineStr">
        <is>
          <t>DP-RDR-8179-V1-02-AS-X86_64-W10</t>
        </is>
      </c>
      <c r="E360" s="36" t="inlineStr"/>
      <c r="F360" s="36" t="inlineStr">
        <is>
          <t>Completed</t>
        </is>
      </c>
      <c r="G360" s="36" t="inlineStr">
        <is>
          <t>Completed</t>
        </is>
      </c>
      <c r="H360" s="35" t="n">
        <v>0</v>
      </c>
      <c r="I360" s="36" t="inlineStr"/>
      <c r="J360" s="36" t="inlineStr"/>
      <c r="K360" s="35" t="n">
        <v>0</v>
      </c>
      <c r="L360" s="42" t="inlineStr">
        <is>
          <t>No</t>
        </is>
      </c>
      <c r="M360" s="36" t="inlineStr"/>
      <c r="N360" s="36" t="inlineStr">
        <is>
          <t>Application</t>
        </is>
      </c>
    </row>
    <row r="361" ht="14" customHeight="1">
      <c r="A361" s="39" t="n">
        <v>361</v>
      </c>
      <c r="B361" s="40" t="inlineStr"/>
      <c r="C361" s="40" t="inlineStr"/>
      <c r="D361" s="41" t="inlineStr">
        <is>
          <t>DP-ATE-8423-V1-01-LIBS-CCMU-X86_64-W10</t>
        </is>
      </c>
      <c r="E361" s="40" t="inlineStr"/>
      <c r="F361" s="40" t="inlineStr">
        <is>
          <t>On-Going</t>
        </is>
      </c>
      <c r="G361" s="40" t="inlineStr">
        <is>
          <t>On-Going</t>
        </is>
      </c>
      <c r="H361" s="39" t="n">
        <v>9</v>
      </c>
      <c r="I361" s="40" t="inlineStr">
        <is>
          <t>2025-01-28</t>
        </is>
      </c>
      <c r="J361" s="40" t="inlineStr">
        <is>
          <t>2025-05-28</t>
        </is>
      </c>
      <c r="K361" s="39" t="n">
        <v>120</v>
      </c>
      <c r="L361" s="38" t="inlineStr">
        <is>
          <t>Yes</t>
        </is>
      </c>
      <c r="M361" s="40" t="inlineStr"/>
      <c r="N361" s="40" t="inlineStr">
        <is>
          <t>Application</t>
        </is>
      </c>
    </row>
    <row r="362" ht="14" customHeight="1">
      <c r="A362" s="35" t="n">
        <v>362</v>
      </c>
      <c r="B362" s="36" t="inlineStr"/>
      <c r="C362" s="36" t="inlineStr"/>
      <c r="D362" s="37" t="inlineStr">
        <is>
          <t>DP-ATE-8423-V1-01-AS-CCMU-X86_64-W10</t>
        </is>
      </c>
      <c r="E362" s="36" t="inlineStr"/>
      <c r="F362" s="36" t="inlineStr">
        <is>
          <t>On-Going</t>
        </is>
      </c>
      <c r="G362" s="36" t="inlineStr">
        <is>
          <t>On-Going</t>
        </is>
      </c>
      <c r="H362" s="35" t="n">
        <v>2</v>
      </c>
      <c r="I362" s="36" t="inlineStr">
        <is>
          <t>2025-01-28</t>
        </is>
      </c>
      <c r="J362" s="36" t="inlineStr">
        <is>
          <t>2025-05-28</t>
        </is>
      </c>
      <c r="K362" s="35" t="n">
        <v>120</v>
      </c>
      <c r="L362" s="38" t="inlineStr">
        <is>
          <t>Yes</t>
        </is>
      </c>
      <c r="M362" s="36" t="inlineStr"/>
      <c r="N362" s="36" t="inlineStr">
        <is>
          <t>Application</t>
        </is>
      </c>
    </row>
    <row r="363" ht="14" customHeight="1">
      <c r="A363" s="39" t="n">
        <v>363</v>
      </c>
      <c r="B363" s="40" t="inlineStr"/>
      <c r="C363" s="40" t="inlineStr">
        <is>
          <t>DP-RDR-8182</t>
        </is>
      </c>
      <c r="D363" s="41" t="inlineStr">
        <is>
          <t>DP-RDR-8182-V1-01-LIBS-X86_64-W10</t>
        </is>
      </c>
      <c r="E363" s="40" t="inlineStr">
        <is>
          <t>Rajendrakumar S</t>
        </is>
      </c>
      <c r="F363" s="40" t="inlineStr">
        <is>
          <t>Completed</t>
        </is>
      </c>
      <c r="G363" s="40" t="inlineStr">
        <is>
          <t>Completed</t>
        </is>
      </c>
      <c r="H363" s="39" t="n">
        <v>3</v>
      </c>
      <c r="I363" s="40" t="inlineStr">
        <is>
          <t>2025-06-05</t>
        </is>
      </c>
      <c r="J363" s="40" t="inlineStr">
        <is>
          <t>2025-06-06</t>
        </is>
      </c>
      <c r="K363" s="39" t="n">
        <v>1</v>
      </c>
      <c r="L363" s="38" t="inlineStr">
        <is>
          <t>Yes</t>
        </is>
      </c>
      <c r="M363" s="40" t="inlineStr"/>
      <c r="N363" s="40" t="inlineStr">
        <is>
          <t>Application</t>
        </is>
      </c>
    </row>
    <row r="364" ht="14" customHeight="1">
      <c r="A364" s="35" t="n">
        <v>364</v>
      </c>
      <c r="B364" s="36" t="inlineStr"/>
      <c r="C364" s="36" t="inlineStr"/>
      <c r="D364" s="37" t="inlineStr">
        <is>
          <t>DP-RDR-8182-V1-01-AS-X86_64-W10</t>
        </is>
      </c>
      <c r="E364" s="36" t="inlineStr"/>
      <c r="F364" s="36" t="inlineStr">
        <is>
          <t>Completed</t>
        </is>
      </c>
      <c r="G364" s="36" t="inlineStr">
        <is>
          <t>Completed</t>
        </is>
      </c>
      <c r="H364" s="35" t="n">
        <v>4</v>
      </c>
      <c r="I364" s="36" t="inlineStr">
        <is>
          <t>2025-06-05</t>
        </is>
      </c>
      <c r="J364" s="36" t="inlineStr">
        <is>
          <t>2025-06-11</t>
        </is>
      </c>
      <c r="K364" s="35" t="n">
        <v>6</v>
      </c>
      <c r="L364" s="38" t="inlineStr">
        <is>
          <t>Yes</t>
        </is>
      </c>
      <c r="M364" s="36" t="inlineStr"/>
      <c r="N364" s="36" t="inlineStr">
        <is>
          <t>Application</t>
        </is>
      </c>
    </row>
    <row r="365" ht="14" customHeight="1">
      <c r="A365" s="39" t="n">
        <v>365</v>
      </c>
      <c r="B365" s="40" t="inlineStr"/>
      <c r="C365" s="40" t="inlineStr"/>
      <c r="D365" s="41" t="inlineStr">
        <is>
          <t>DP-RDR-8182-V1-02-AS-X86_64-W10</t>
        </is>
      </c>
      <c r="E365" s="40" t="inlineStr"/>
      <c r="F365" s="40" t="inlineStr">
        <is>
          <t>Completed</t>
        </is>
      </c>
      <c r="G365" s="40" t="inlineStr">
        <is>
          <t>Completed</t>
        </is>
      </c>
      <c r="H365" s="39" t="n">
        <v>0</v>
      </c>
      <c r="I365" s="40" t="inlineStr"/>
      <c r="J365" s="40" t="inlineStr"/>
      <c r="K365" s="39" t="n">
        <v>0</v>
      </c>
      <c r="L365" s="42" t="inlineStr">
        <is>
          <t>No</t>
        </is>
      </c>
      <c r="M365" s="40" t="inlineStr"/>
      <c r="N365" s="40" t="inlineStr">
        <is>
          <t>Application</t>
        </is>
      </c>
    </row>
    <row r="366" ht="14" customHeight="1">
      <c r="A366" s="35" t="n">
        <v>366</v>
      </c>
      <c r="B366" s="36" t="inlineStr"/>
      <c r="C366" s="36" t="inlineStr"/>
      <c r="D366" s="37" t="inlineStr">
        <is>
          <t>DP-ATE-8423-V1-01-LIBS-SPU-X86_64-W10</t>
        </is>
      </c>
      <c r="E366" s="36" t="inlineStr"/>
      <c r="F366" s="36" t="inlineStr">
        <is>
          <t>On-Going</t>
        </is>
      </c>
      <c r="G366" s="36" t="inlineStr">
        <is>
          <t>On-Going</t>
        </is>
      </c>
      <c r="H366" s="35" t="n">
        <v>5</v>
      </c>
      <c r="I366" s="36" t="inlineStr">
        <is>
          <t>2025-06-05</t>
        </is>
      </c>
      <c r="J366" s="36" t="inlineStr">
        <is>
          <t>2025-08-25</t>
        </is>
      </c>
      <c r="K366" s="35" t="n">
        <v>81</v>
      </c>
      <c r="L366" s="38" t="inlineStr">
        <is>
          <t>Yes</t>
        </is>
      </c>
      <c r="M366" s="36" t="inlineStr"/>
      <c r="N366" s="36" t="inlineStr">
        <is>
          <t>Application</t>
        </is>
      </c>
    </row>
    <row r="367" ht="14" customHeight="1">
      <c r="A367" s="39" t="n">
        <v>367</v>
      </c>
      <c r="B367" s="40" t="inlineStr"/>
      <c r="C367" s="40" t="inlineStr"/>
      <c r="D367" s="41" t="inlineStr">
        <is>
          <t>DP-ATE-8423-V1-01-AS-SPU-X86_64-W10</t>
        </is>
      </c>
      <c r="E367" s="40" t="inlineStr"/>
      <c r="F367" s="40" t="inlineStr">
        <is>
          <t>On-Going</t>
        </is>
      </c>
      <c r="G367" s="40" t="inlineStr">
        <is>
          <t>On-Going</t>
        </is>
      </c>
      <c r="H367" s="39" t="n">
        <v>6</v>
      </c>
      <c r="I367" s="40" t="inlineStr">
        <is>
          <t>2025-06-05</t>
        </is>
      </c>
      <c r="J367" s="40" t="inlineStr">
        <is>
          <t>2025-08-25</t>
        </is>
      </c>
      <c r="K367" s="39" t="n">
        <v>81</v>
      </c>
      <c r="L367" s="38" t="inlineStr">
        <is>
          <t>Yes</t>
        </is>
      </c>
      <c r="M367" s="40" t="inlineStr"/>
      <c r="N367" s="40" t="inlineStr">
        <is>
          <t>Application</t>
        </is>
      </c>
    </row>
    <row r="368" ht="14" customHeight="1">
      <c r="A368" s="35" t="n">
        <v>368</v>
      </c>
      <c r="B368" s="36" t="inlineStr"/>
      <c r="C368" s="36" t="inlineStr">
        <is>
          <t>DP-RDR-8185</t>
        </is>
      </c>
      <c r="D368" s="37" t="inlineStr">
        <is>
          <t>DP-RDR-8185-V1-01-LIBS-X86_64-W10</t>
        </is>
      </c>
      <c r="E368" s="36" t="inlineStr">
        <is>
          <t>Rajendrakumar S</t>
        </is>
      </c>
      <c r="F368" s="36" t="inlineStr">
        <is>
          <t>Completed</t>
        </is>
      </c>
      <c r="G368" s="36" t="inlineStr">
        <is>
          <t>Completed</t>
        </is>
      </c>
      <c r="H368" s="35" t="n">
        <v>4</v>
      </c>
      <c r="I368" s="36" t="inlineStr">
        <is>
          <t>2025-06-05</t>
        </is>
      </c>
      <c r="J368" s="36" t="inlineStr">
        <is>
          <t>2025-06-06</t>
        </is>
      </c>
      <c r="K368" s="35" t="n">
        <v>1</v>
      </c>
      <c r="L368" s="38" t="inlineStr">
        <is>
          <t>Yes</t>
        </is>
      </c>
      <c r="M368" s="36" t="inlineStr"/>
      <c r="N368" s="36" t="inlineStr">
        <is>
          <t>Application</t>
        </is>
      </c>
    </row>
    <row r="369" ht="14" customHeight="1">
      <c r="A369" s="39" t="n">
        <v>369</v>
      </c>
      <c r="B369" s="40" t="inlineStr"/>
      <c r="C369" s="40" t="inlineStr"/>
      <c r="D369" s="41" t="inlineStr">
        <is>
          <t>DP-RDR-8185-V1-01-AS-X86_64-W10</t>
        </is>
      </c>
      <c r="E369" s="40" t="inlineStr"/>
      <c r="F369" s="40" t="inlineStr">
        <is>
          <t>Completed</t>
        </is>
      </c>
      <c r="G369" s="40" t="inlineStr">
        <is>
          <t>Completed</t>
        </is>
      </c>
      <c r="H369" s="39" t="n">
        <v>6</v>
      </c>
      <c r="I369" s="40" t="inlineStr">
        <is>
          <t>2025-06-05</t>
        </is>
      </c>
      <c r="J369" s="40" t="inlineStr">
        <is>
          <t>2025-06-11</t>
        </is>
      </c>
      <c r="K369" s="39" t="n">
        <v>6</v>
      </c>
      <c r="L369" s="38" t="inlineStr">
        <is>
          <t>Yes</t>
        </is>
      </c>
      <c r="M369" s="40" t="inlineStr"/>
      <c r="N369" s="40" t="inlineStr">
        <is>
          <t>Application</t>
        </is>
      </c>
    </row>
    <row r="370" ht="14" customHeight="1">
      <c r="A370" s="35" t="n">
        <v>370</v>
      </c>
      <c r="B370" s="36" t="inlineStr"/>
      <c r="C370" s="36" t="inlineStr"/>
      <c r="D370" s="37" t="inlineStr">
        <is>
          <t>DP-RDR-8185-V1-02-AS-X86_64-W10</t>
        </is>
      </c>
      <c r="E370" s="36" t="inlineStr"/>
      <c r="F370" s="36" t="inlineStr"/>
      <c r="G370" s="36" t="inlineStr"/>
      <c r="H370" s="35" t="n">
        <v>0</v>
      </c>
      <c r="I370" s="36" t="inlineStr"/>
      <c r="J370" s="36" t="inlineStr"/>
      <c r="K370" s="35" t="n">
        <v>0</v>
      </c>
      <c r="L370" s="42" t="inlineStr">
        <is>
          <t>No</t>
        </is>
      </c>
      <c r="M370" s="36" t="inlineStr"/>
      <c r="N370" s="36" t="inlineStr">
        <is>
          <t>Application</t>
        </is>
      </c>
    </row>
    <row r="371" ht="14" customHeight="1">
      <c r="A371" s="39" t="n">
        <v>371</v>
      </c>
      <c r="B371" s="40" t="inlineStr"/>
      <c r="C371" s="40" t="inlineStr"/>
      <c r="D371" s="41" t="inlineStr">
        <is>
          <t>DP-ATE-8423-V1-01-LIBS-CSPU-X86_64-W10</t>
        </is>
      </c>
      <c r="E371" s="40" t="inlineStr"/>
      <c r="F371" s="40" t="inlineStr">
        <is>
          <t>On-Going</t>
        </is>
      </c>
      <c r="G371" s="40" t="inlineStr">
        <is>
          <t>On-Going</t>
        </is>
      </c>
      <c r="H371" s="39" t="n">
        <v>2</v>
      </c>
      <c r="I371" s="40" t="inlineStr">
        <is>
          <t>2025-06-05</t>
        </is>
      </c>
      <c r="J371" s="40" t="inlineStr">
        <is>
          <t>2025-06-06</t>
        </is>
      </c>
      <c r="K371" s="39" t="n">
        <v>1</v>
      </c>
      <c r="L371" s="38" t="inlineStr">
        <is>
          <t>Yes</t>
        </is>
      </c>
      <c r="M371" s="40" t="inlineStr"/>
      <c r="N371" s="40" t="inlineStr">
        <is>
          <t>Application</t>
        </is>
      </c>
    </row>
    <row r="372" ht="14" customHeight="1">
      <c r="A372" s="35" t="n">
        <v>372</v>
      </c>
      <c r="B372" s="36" t="inlineStr"/>
      <c r="C372" s="36" t="inlineStr"/>
      <c r="D372" s="37" t="inlineStr">
        <is>
          <t>DP-ATE-8423-V1-01-AS-CSPU-X86_64-W10</t>
        </is>
      </c>
      <c r="E372" s="36" t="inlineStr"/>
      <c r="F372" s="36" t="inlineStr">
        <is>
          <t>On-Going</t>
        </is>
      </c>
      <c r="G372" s="36" t="inlineStr">
        <is>
          <t>On-Going</t>
        </is>
      </c>
      <c r="H372" s="35" t="n">
        <v>5</v>
      </c>
      <c r="I372" s="36" t="inlineStr">
        <is>
          <t>2025-06-05</t>
        </is>
      </c>
      <c r="J372" s="36" t="inlineStr">
        <is>
          <t>2025-08-25</t>
        </is>
      </c>
      <c r="K372" s="35" t="n">
        <v>81</v>
      </c>
      <c r="L372" s="38" t="inlineStr">
        <is>
          <t>Yes</t>
        </is>
      </c>
      <c r="M372" s="36" t="inlineStr"/>
      <c r="N372" s="36" t="inlineStr">
        <is>
          <t>Application</t>
        </is>
      </c>
    </row>
    <row r="373" ht="14" customHeight="1">
      <c r="A373" s="39" t="n">
        <v>373</v>
      </c>
      <c r="B373" s="40" t="inlineStr"/>
      <c r="C373" s="40" t="inlineStr">
        <is>
          <t>DP-RDR-8188</t>
        </is>
      </c>
      <c r="D373" s="41" t="inlineStr">
        <is>
          <t>DP-RDR-8188-V1-01-LIBS-X86_64-W10</t>
        </is>
      </c>
      <c r="E373" s="40" t="inlineStr">
        <is>
          <t>Sridhar J</t>
        </is>
      </c>
      <c r="F373" s="40" t="inlineStr">
        <is>
          <t>Completed</t>
        </is>
      </c>
      <c r="G373" s="40" t="inlineStr">
        <is>
          <t>Completed</t>
        </is>
      </c>
      <c r="H373" s="39" t="n">
        <v>3</v>
      </c>
      <c r="I373" s="40" t="inlineStr">
        <is>
          <t>2025-05-22</t>
        </is>
      </c>
      <c r="J373" s="40" t="inlineStr">
        <is>
          <t>2025-05-22</t>
        </is>
      </c>
      <c r="K373" s="39" t="n">
        <v>0</v>
      </c>
      <c r="L373" s="38" t="inlineStr">
        <is>
          <t>Yes</t>
        </is>
      </c>
      <c r="M373" s="40" t="inlineStr"/>
      <c r="N373" s="40" t="inlineStr">
        <is>
          <t>Application</t>
        </is>
      </c>
    </row>
    <row r="374" ht="14" customHeight="1">
      <c r="A374" s="35" t="n">
        <v>374</v>
      </c>
      <c r="B374" s="36" t="inlineStr"/>
      <c r="C374" s="36" t="inlineStr"/>
      <c r="D374" s="37" t="inlineStr">
        <is>
          <t>DP-RDR-8188-V1-01-AS-X86_64-W10</t>
        </is>
      </c>
      <c r="E374" s="36" t="inlineStr"/>
      <c r="F374" s="36" t="inlineStr">
        <is>
          <t>Completed</t>
        </is>
      </c>
      <c r="G374" s="36" t="inlineStr">
        <is>
          <t>Completed</t>
        </is>
      </c>
      <c r="H374" s="35" t="n">
        <v>3</v>
      </c>
      <c r="I374" s="36" t="inlineStr">
        <is>
          <t>2025-05-22</t>
        </is>
      </c>
      <c r="J374" s="36" t="inlineStr">
        <is>
          <t>2025-05-22</t>
        </is>
      </c>
      <c r="K374" s="35" t="n">
        <v>0</v>
      </c>
      <c r="L374" s="38" t="inlineStr">
        <is>
          <t>Yes</t>
        </is>
      </c>
      <c r="M374" s="36" t="inlineStr"/>
      <c r="N374" s="36" t="inlineStr">
        <is>
          <t>Application</t>
        </is>
      </c>
    </row>
    <row r="375" ht="14" customHeight="1">
      <c r="A375" s="39" t="n">
        <v>375</v>
      </c>
      <c r="B375" s="40" t="inlineStr"/>
      <c r="C375" s="40" t="inlineStr"/>
      <c r="D375" s="41" t="inlineStr">
        <is>
          <t>DP-RDR-8188-V1-02-AS-X86_64-W10</t>
        </is>
      </c>
      <c r="E375" s="40" t="inlineStr"/>
      <c r="F375" s="40" t="inlineStr">
        <is>
          <t>Completed</t>
        </is>
      </c>
      <c r="G375" s="40" t="inlineStr">
        <is>
          <t>Completed</t>
        </is>
      </c>
      <c r="H375" s="39" t="n">
        <v>0</v>
      </c>
      <c r="I375" s="40" t="inlineStr"/>
      <c r="J375" s="40" t="inlineStr"/>
      <c r="K375" s="39" t="n">
        <v>0</v>
      </c>
      <c r="L375" s="42" t="inlineStr">
        <is>
          <t>No</t>
        </is>
      </c>
      <c r="M375" s="40" t="inlineStr"/>
      <c r="N375" s="40" t="inlineStr">
        <is>
          <t>Application</t>
        </is>
      </c>
    </row>
    <row r="376" ht="14" customHeight="1">
      <c r="A376" s="35" t="n">
        <v>376</v>
      </c>
      <c r="B376" s="36" t="inlineStr"/>
      <c r="C376" s="36" t="inlineStr"/>
      <c r="D376" s="37" t="inlineStr">
        <is>
          <t>DP-ATE-8423-V1-01-LIBS-STPU-X86_64-W10</t>
        </is>
      </c>
      <c r="E376" s="36" t="inlineStr"/>
      <c r="F376" s="36" t="inlineStr">
        <is>
          <t>On-Going</t>
        </is>
      </c>
      <c r="G376" s="36" t="inlineStr">
        <is>
          <t>On-Going</t>
        </is>
      </c>
      <c r="H376" s="35" t="n">
        <v>5</v>
      </c>
      <c r="I376" s="36" t="inlineStr">
        <is>
          <t>2025-06-05</t>
        </is>
      </c>
      <c r="J376" s="36" t="inlineStr">
        <is>
          <t>2025-08-25</t>
        </is>
      </c>
      <c r="K376" s="35" t="n">
        <v>81</v>
      </c>
      <c r="L376" s="38" t="inlineStr">
        <is>
          <t>Yes</t>
        </is>
      </c>
      <c r="M376" s="36" t="inlineStr"/>
      <c r="N376" s="36" t="inlineStr">
        <is>
          <t>Application</t>
        </is>
      </c>
    </row>
    <row r="377" ht="14" customHeight="1">
      <c r="A377" s="39" t="n">
        <v>377</v>
      </c>
      <c r="B377" s="40" t="inlineStr"/>
      <c r="C377" s="40" t="inlineStr"/>
      <c r="D377" s="41" t="inlineStr">
        <is>
          <t>DP-ATE-8423-V1-01-AS-STPU-X86_64-W10</t>
        </is>
      </c>
      <c r="E377" s="40" t="inlineStr"/>
      <c r="F377" s="40" t="inlineStr">
        <is>
          <t>On-Going</t>
        </is>
      </c>
      <c r="G377" s="40" t="inlineStr">
        <is>
          <t>On-Going</t>
        </is>
      </c>
      <c r="H377" s="39" t="n">
        <v>6</v>
      </c>
      <c r="I377" s="40" t="inlineStr">
        <is>
          <t>2025-06-05</t>
        </is>
      </c>
      <c r="J377" s="40" t="inlineStr">
        <is>
          <t>2025-08-25</t>
        </is>
      </c>
      <c r="K377" s="39" t="n">
        <v>81</v>
      </c>
      <c r="L377" s="38" t="inlineStr">
        <is>
          <t>Yes</t>
        </is>
      </c>
      <c r="M377" s="40" t="inlineStr"/>
      <c r="N377" s="40" t="inlineStr">
        <is>
          <t>Application</t>
        </is>
      </c>
    </row>
    <row r="378" ht="14" customHeight="1">
      <c r="A378" s="35" t="n">
        <v>378</v>
      </c>
      <c r="B378" s="36" t="inlineStr"/>
      <c r="C378" s="36" t="inlineStr">
        <is>
          <t>DP-DTM-8003</t>
        </is>
      </c>
      <c r="D378" s="37" t="inlineStr">
        <is>
          <t>DP-DTM-8003-V1-01-LIBS-X86_64-W10</t>
        </is>
      </c>
      <c r="E378" s="36" t="inlineStr">
        <is>
          <t>Kishore N</t>
        </is>
      </c>
      <c r="F378" s="36" t="inlineStr"/>
      <c r="G378" s="36" t="inlineStr"/>
      <c r="H378" s="35" t="n">
        <v>0</v>
      </c>
      <c r="I378" s="36" t="inlineStr"/>
      <c r="J378" s="36" t="inlineStr"/>
      <c r="K378" s="35" t="n">
        <v>0</v>
      </c>
      <c r="L378" s="42" t="inlineStr">
        <is>
          <t>No</t>
        </is>
      </c>
      <c r="M378" s="36" t="inlineStr"/>
      <c r="N378" s="36" t="inlineStr">
        <is>
          <t>Application</t>
        </is>
      </c>
    </row>
    <row r="379" ht="14" customHeight="1">
      <c r="A379" s="39" t="n">
        <v>379</v>
      </c>
      <c r="B379" s="40" t="inlineStr"/>
      <c r="C379" s="40" t="inlineStr"/>
      <c r="D379" s="41" t="inlineStr">
        <is>
          <t>DP-DTM-8003-V1-01-AS-X86_64-W10</t>
        </is>
      </c>
      <c r="E379" s="40" t="inlineStr"/>
      <c r="F379" s="40" t="inlineStr">
        <is>
          <t>Completed</t>
        </is>
      </c>
      <c r="G379" s="40" t="inlineStr">
        <is>
          <t>Completed</t>
        </is>
      </c>
      <c r="H379" s="39" t="n">
        <v>9</v>
      </c>
      <c r="I379" s="40" t="inlineStr">
        <is>
          <t>2025-03-20</t>
        </is>
      </c>
      <c r="J379" s="40" t="inlineStr">
        <is>
          <t>2025-06-19</t>
        </is>
      </c>
      <c r="K379" s="39" t="n">
        <v>91</v>
      </c>
      <c r="L379" s="38" t="inlineStr">
        <is>
          <t>Yes</t>
        </is>
      </c>
      <c r="M379" s="40" t="inlineStr"/>
      <c r="N379" s="40" t="inlineStr">
        <is>
          <t>Application</t>
        </is>
      </c>
    </row>
    <row r="380" ht="14" customHeight="1">
      <c r="A380" s="35" t="n">
        <v>380</v>
      </c>
      <c r="B380" s="36" t="inlineStr"/>
      <c r="C380" s="36" t="inlineStr"/>
      <c r="D380" s="37" t="inlineStr">
        <is>
          <t>DP-DTM-8003-V1-02-AS-X86_64-W10</t>
        </is>
      </c>
      <c r="E380" s="36" t="inlineStr"/>
      <c r="F380" s="36" t="inlineStr">
        <is>
          <t>Completed</t>
        </is>
      </c>
      <c r="G380" s="36" t="inlineStr">
        <is>
          <t>Completed</t>
        </is>
      </c>
      <c r="H380" s="35" t="n">
        <v>0</v>
      </c>
      <c r="I380" s="36" t="inlineStr"/>
      <c r="J380" s="36" t="inlineStr"/>
      <c r="K380" s="35" t="n">
        <v>0</v>
      </c>
      <c r="L380" s="42" t="inlineStr">
        <is>
          <t>No</t>
        </is>
      </c>
      <c r="M380" s="36" t="inlineStr"/>
      <c r="N380" s="36" t="inlineStr">
        <is>
          <t>Application</t>
        </is>
      </c>
    </row>
    <row r="381" ht="14" customHeight="1">
      <c r="A381" s="39" t="n">
        <v>381</v>
      </c>
      <c r="B381" s="40" t="inlineStr"/>
      <c r="C381" s="40" t="inlineStr"/>
      <c r="D381" s="41" t="inlineStr">
        <is>
          <t>DP-ATE-8423-V1-01-AS-DTM-X86_64-W10</t>
        </is>
      </c>
      <c r="E381" s="40" t="inlineStr"/>
      <c r="F381" s="40" t="inlineStr">
        <is>
          <t>On-Going</t>
        </is>
      </c>
      <c r="G381" s="40" t="inlineStr">
        <is>
          <t>On-Going</t>
        </is>
      </c>
      <c r="H381" s="39" t="n">
        <v>11</v>
      </c>
      <c r="I381" s="40" t="inlineStr">
        <is>
          <t>2025-03-20</t>
        </is>
      </c>
      <c r="J381" s="40" t="inlineStr">
        <is>
          <t>2025-06-12</t>
        </is>
      </c>
      <c r="K381" s="39" t="n">
        <v>84</v>
      </c>
      <c r="L381" s="38" t="inlineStr">
        <is>
          <t>Yes</t>
        </is>
      </c>
      <c r="M381" s="40" t="inlineStr"/>
      <c r="N381" s="40" t="inlineStr">
        <is>
          <t>Application</t>
        </is>
      </c>
    </row>
    <row r="382" ht="14" customHeight="1">
      <c r="A382" s="35" t="n">
        <v>382</v>
      </c>
      <c r="B382" s="36" t="inlineStr"/>
      <c r="C382" s="36" t="inlineStr">
        <is>
          <t>DP-DRM-8008</t>
        </is>
      </c>
      <c r="D382" s="37" t="inlineStr">
        <is>
          <t>DP-DTM-8003-V1-01-LIBS-X86_64-W10</t>
        </is>
      </c>
      <c r="E382" s="36" t="inlineStr"/>
      <c r="F382" s="36" t="inlineStr"/>
      <c r="G382" s="36" t="inlineStr"/>
      <c r="H382" s="35" t="n">
        <v>0</v>
      </c>
      <c r="I382" s="36" t="inlineStr"/>
      <c r="J382" s="36" t="inlineStr"/>
      <c r="K382" s="35" t="n">
        <v>0</v>
      </c>
      <c r="L382" s="42" t="inlineStr">
        <is>
          <t>No</t>
        </is>
      </c>
      <c r="M382" s="36" t="inlineStr"/>
      <c r="N382" s="36" t="inlineStr">
        <is>
          <t>Application</t>
        </is>
      </c>
    </row>
    <row r="383" ht="14" customHeight="1">
      <c r="A383" s="39" t="n">
        <v>383</v>
      </c>
      <c r="B383" s="40" t="inlineStr"/>
      <c r="C383" s="40" t="inlineStr"/>
      <c r="D383" s="41" t="inlineStr">
        <is>
          <t>DP-DTM-8003-V1-01-AS-X86_64-W10</t>
        </is>
      </c>
      <c r="E383" s="40" t="inlineStr"/>
      <c r="F383" s="40" t="inlineStr">
        <is>
          <t>Completed</t>
        </is>
      </c>
      <c r="G383" s="40" t="inlineStr">
        <is>
          <t>Completed</t>
        </is>
      </c>
      <c r="H383" s="39" t="n">
        <v>9</v>
      </c>
      <c r="I383" s="40" t="inlineStr">
        <is>
          <t>2025-03-20</t>
        </is>
      </c>
      <c r="J383" s="40" t="inlineStr">
        <is>
          <t>2025-06-19</t>
        </is>
      </c>
      <c r="K383" s="39" t="n">
        <v>91</v>
      </c>
      <c r="L383" s="38" t="inlineStr">
        <is>
          <t>Yes</t>
        </is>
      </c>
      <c r="M383" s="40" t="inlineStr"/>
      <c r="N383" s="40" t="inlineStr">
        <is>
          <t>Application</t>
        </is>
      </c>
    </row>
    <row r="384" ht="14" customHeight="1">
      <c r="A384" s="35" t="n">
        <v>384</v>
      </c>
      <c r="B384" s="36" t="inlineStr"/>
      <c r="C384" s="36" t="inlineStr"/>
      <c r="D384" s="37" t="inlineStr">
        <is>
          <t>DP-DTM-8003-V1-02-AS-X86_64-W10</t>
        </is>
      </c>
      <c r="E384" s="36" t="inlineStr"/>
      <c r="F384" s="36" t="inlineStr"/>
      <c r="G384" s="36" t="inlineStr"/>
      <c r="H384" s="35" t="n">
        <v>0</v>
      </c>
      <c r="I384" s="36" t="inlineStr"/>
      <c r="J384" s="36" t="inlineStr"/>
      <c r="K384" s="35" t="n">
        <v>0</v>
      </c>
      <c r="L384" s="42" t="inlineStr">
        <is>
          <t>No</t>
        </is>
      </c>
      <c r="M384" s="36" t="inlineStr"/>
      <c r="N384" s="36" t="inlineStr">
        <is>
          <t>Application</t>
        </is>
      </c>
    </row>
    <row r="385" ht="14" customHeight="1">
      <c r="A385" s="39" t="n">
        <v>385</v>
      </c>
      <c r="B385" s="40" t="inlineStr"/>
      <c r="C385" s="40" t="inlineStr"/>
      <c r="D385" s="41" t="inlineStr">
        <is>
          <t>DP-ATE-8423-V1-01-AS-DRM-X86_64-W10</t>
        </is>
      </c>
      <c r="E385" s="40" t="inlineStr"/>
      <c r="F385" s="40" t="inlineStr">
        <is>
          <t>On-Going</t>
        </is>
      </c>
      <c r="G385" s="40" t="inlineStr">
        <is>
          <t>On-Going</t>
        </is>
      </c>
      <c r="H385" s="39" t="n">
        <v>9</v>
      </c>
      <c r="I385" s="40" t="inlineStr">
        <is>
          <t>2025-02-10</t>
        </is>
      </c>
      <c r="J385" s="40" t="inlineStr">
        <is>
          <t>2025-03-25</t>
        </is>
      </c>
      <c r="K385" s="39" t="n">
        <v>43</v>
      </c>
      <c r="L385" s="38" t="inlineStr">
        <is>
          <t>Yes</t>
        </is>
      </c>
      <c r="M385" s="40" t="inlineStr"/>
      <c r="N385" s="40" t="inlineStr">
        <is>
          <t>Application</t>
        </is>
      </c>
    </row>
    <row r="386" ht="14" customHeight="1">
      <c r="A386" s="35" t="n">
        <v>386</v>
      </c>
      <c r="B386" s="36" t="inlineStr"/>
      <c r="C386" s="36" t="inlineStr">
        <is>
          <t>DP-RDR-8191</t>
        </is>
      </c>
      <c r="D386" s="37" t="inlineStr">
        <is>
          <t>DP-RDR-8191-V1-01-LIBS-X86_64-W10</t>
        </is>
      </c>
      <c r="E386" s="36" t="inlineStr">
        <is>
          <t>Sridhar J</t>
        </is>
      </c>
      <c r="F386" s="36" t="inlineStr">
        <is>
          <t>On-Going</t>
        </is>
      </c>
      <c r="G386" s="36" t="inlineStr">
        <is>
          <t>On-Going</t>
        </is>
      </c>
      <c r="H386" s="35" t="n">
        <v>8</v>
      </c>
      <c r="I386" s="36" t="inlineStr">
        <is>
          <t>2025-06-10</t>
        </is>
      </c>
      <c r="J386" s="36" t="inlineStr">
        <is>
          <t>2025-08-11</t>
        </is>
      </c>
      <c r="K386" s="35" t="n">
        <v>62</v>
      </c>
      <c r="L386" s="38" t="inlineStr">
        <is>
          <t>Yes</t>
        </is>
      </c>
      <c r="M386" s="36" t="inlineStr"/>
      <c r="N386" s="36" t="inlineStr">
        <is>
          <t>Application</t>
        </is>
      </c>
    </row>
    <row r="387" ht="14" customHeight="1">
      <c r="A387" s="39" t="n">
        <v>387</v>
      </c>
      <c r="B387" s="40" t="inlineStr"/>
      <c r="C387" s="40" t="inlineStr"/>
      <c r="D387" s="41" t="inlineStr">
        <is>
          <t>DP-RDR-8191-V1-01-AS-X86_64-W10</t>
        </is>
      </c>
      <c r="E387" s="40" t="inlineStr"/>
      <c r="F387" s="40" t="inlineStr">
        <is>
          <t>On-Going</t>
        </is>
      </c>
      <c r="G387" s="40" t="inlineStr">
        <is>
          <t>On-Going</t>
        </is>
      </c>
      <c r="H387" s="39" t="n">
        <v>64</v>
      </c>
      <c r="I387" s="40" t="inlineStr">
        <is>
          <t>2025-06-10</t>
        </is>
      </c>
      <c r="J387" s="40" t="inlineStr">
        <is>
          <t>2025-09-22</t>
        </is>
      </c>
      <c r="K387" s="39" t="n">
        <v>104</v>
      </c>
      <c r="L387" s="38" t="inlineStr">
        <is>
          <t>Yes</t>
        </is>
      </c>
      <c r="M387" s="40" t="inlineStr"/>
      <c r="N387" s="40" t="inlineStr">
        <is>
          <t>Application</t>
        </is>
      </c>
    </row>
    <row r="388" ht="14" customHeight="1">
      <c r="A388" s="35" t="n">
        <v>388</v>
      </c>
      <c r="B388" s="36" t="inlineStr"/>
      <c r="C388" s="36" t="inlineStr"/>
      <c r="D388" s="37" t="inlineStr">
        <is>
          <t>DP-RDR-8191-V1-01-AS-TARGET-AARCH64-LIN5V10</t>
        </is>
      </c>
      <c r="E388" s="36" t="inlineStr"/>
      <c r="F388" s="36" t="inlineStr">
        <is>
          <t>On-Going</t>
        </is>
      </c>
      <c r="G388" s="36" t="inlineStr">
        <is>
          <t>On-Going</t>
        </is>
      </c>
      <c r="H388" s="35" t="n">
        <v>9</v>
      </c>
      <c r="I388" s="36" t="inlineStr">
        <is>
          <t>2025-06-10</t>
        </is>
      </c>
      <c r="J388" s="36" t="inlineStr">
        <is>
          <t>2025-07-16</t>
        </is>
      </c>
      <c r="K388" s="35" t="n">
        <v>36</v>
      </c>
      <c r="L388" s="38" t="inlineStr">
        <is>
          <t>Yes</t>
        </is>
      </c>
      <c r="M388" s="36" t="inlineStr"/>
      <c r="N388" s="36" t="inlineStr">
        <is>
          <t>Application</t>
        </is>
      </c>
    </row>
    <row r="389" ht="14" customHeight="1">
      <c r="A389" s="39" t="n">
        <v>389</v>
      </c>
      <c r="B389" s="40" t="inlineStr"/>
      <c r="C389" s="40" t="inlineStr"/>
      <c r="D389" s="41" t="inlineStr">
        <is>
          <t>DP-RDR-8191-V1-01-AS-SRV_APP-X64-W10</t>
        </is>
      </c>
      <c r="E389" s="40" t="inlineStr"/>
      <c r="F389" s="40" t="inlineStr">
        <is>
          <t>On-Going</t>
        </is>
      </c>
      <c r="G389" s="40" t="inlineStr">
        <is>
          <t>On-Going</t>
        </is>
      </c>
      <c r="H389" s="39" t="n">
        <v>7</v>
      </c>
      <c r="I389" s="40" t="inlineStr">
        <is>
          <t>2025-08-14</t>
        </is>
      </c>
      <c r="J389" s="40" t="inlineStr">
        <is>
          <t>2025-08-22</t>
        </is>
      </c>
      <c r="K389" s="39" t="n">
        <v>8</v>
      </c>
      <c r="L389" s="38" t="inlineStr">
        <is>
          <t>Yes</t>
        </is>
      </c>
      <c r="M389" s="40" t="inlineStr"/>
      <c r="N389" s="40" t="inlineStr">
        <is>
          <t>Application</t>
        </is>
      </c>
    </row>
    <row r="390" ht="14" customHeight="1">
      <c r="A390" s="35" t="n">
        <v>390</v>
      </c>
      <c r="B390" s="36" t="inlineStr"/>
      <c r="C390" s="36" t="inlineStr">
        <is>
          <t>DP-ATE-8423</t>
        </is>
      </c>
      <c r="D390" s="37" t="inlineStr">
        <is>
          <t>DP-ATE-8423-V1-01-AS-ST-HOST-x64-W10</t>
        </is>
      </c>
      <c r="E390" s="36" t="inlineStr">
        <is>
          <t>Rajesh P</t>
        </is>
      </c>
      <c r="F390" s="36" t="inlineStr"/>
      <c r="G390" s="36" t="inlineStr"/>
      <c r="H390" s="35" t="n">
        <v>18</v>
      </c>
      <c r="I390" s="36" t="inlineStr">
        <is>
          <t>2025-06-03</t>
        </is>
      </c>
      <c r="J390" s="36" t="inlineStr">
        <is>
          <t>2026-01-05</t>
        </is>
      </c>
      <c r="K390" s="35" t="n">
        <v>216</v>
      </c>
      <c r="L390" s="38" t="inlineStr">
        <is>
          <t>Yes</t>
        </is>
      </c>
      <c r="M390" s="36" t="inlineStr"/>
      <c r="N390" s="36" t="inlineStr">
        <is>
          <t>Application</t>
        </is>
      </c>
    </row>
    <row r="391" ht="14" customHeight="1">
      <c r="A391" s="39" t="n">
        <v>391</v>
      </c>
      <c r="B391" s="40" t="inlineStr">
        <is>
          <t>YIC2759</t>
        </is>
      </c>
      <c r="C391" s="40" t="inlineStr">
        <is>
          <t>DP-CRF-5273</t>
        </is>
      </c>
      <c r="D391" s="41" t="inlineStr">
        <is>
          <t>DP-CRF-5273-V1-01-AS-X64-W10</t>
        </is>
      </c>
      <c r="E391" s="40" t="inlineStr">
        <is>
          <t>Yashenth A M</t>
        </is>
      </c>
      <c r="F391" s="40" t="inlineStr">
        <is>
          <t>On-Going</t>
        </is>
      </c>
      <c r="G391" s="40" t="inlineStr">
        <is>
          <t>On-Going</t>
        </is>
      </c>
      <c r="H391" s="39" t="n">
        <v>0</v>
      </c>
      <c r="I391" s="40" t="inlineStr"/>
      <c r="J391" s="40" t="inlineStr"/>
      <c r="K391" s="39" t="n">
        <v>0</v>
      </c>
      <c r="L391" s="42" t="inlineStr">
        <is>
          <t>No</t>
        </is>
      </c>
      <c r="M391" s="40" t="inlineStr"/>
      <c r="N391" s="40" t="inlineStr">
        <is>
          <t>Application</t>
        </is>
      </c>
    </row>
    <row r="392" ht="14" customHeight="1">
      <c r="A392" s="35" t="n">
        <v>392</v>
      </c>
      <c r="B392" s="36" t="inlineStr">
        <is>
          <t>YIA2822_MIG29K</t>
        </is>
      </c>
      <c r="C392" s="36" t="inlineStr">
        <is>
          <t>DP-CRF-6419</t>
        </is>
      </c>
      <c r="D392" s="37" t="inlineStr">
        <is>
          <t>DP-CRF-6419-V1-01-AS-x86_64-W11</t>
        </is>
      </c>
      <c r="E392" s="36" t="inlineStr">
        <is>
          <t>Prasanth S</t>
        </is>
      </c>
      <c r="F392" s="36" t="inlineStr">
        <is>
          <t>Completed</t>
        </is>
      </c>
      <c r="G392" s="36" t="inlineStr">
        <is>
          <t>Completed</t>
        </is>
      </c>
      <c r="H392" s="35" t="n">
        <v>1</v>
      </c>
      <c r="I392" s="36" t="inlineStr">
        <is>
          <t>2025-09-29</t>
        </is>
      </c>
      <c r="J392" s="36" t="inlineStr">
        <is>
          <t>2025-09-29</t>
        </is>
      </c>
      <c r="K392" s="35" t="n">
        <v>0</v>
      </c>
      <c r="L392" s="38" t="inlineStr">
        <is>
          <t>Yes</t>
        </is>
      </c>
      <c r="M392" s="36" t="inlineStr"/>
      <c r="N392" s="36" t="inlineStr">
        <is>
          <t>Application</t>
        </is>
      </c>
    </row>
    <row r="393" ht="14" customHeight="1">
      <c r="A393" s="39" t="n">
        <v>393</v>
      </c>
      <c r="B393" s="40" t="inlineStr">
        <is>
          <t>YEC2936_ALH</t>
        </is>
      </c>
      <c r="C393" s="40" t="inlineStr">
        <is>
          <t>DP-SPL-7180</t>
        </is>
      </c>
      <c r="D393" s="41" t="inlineStr">
        <is>
          <t>DP-SPL-7180-V1-01-AS-x86_64-W11</t>
        </is>
      </c>
      <c r="E393" s="40" t="inlineStr">
        <is>
          <t>Prasanth S</t>
        </is>
      </c>
      <c r="F393" s="40" t="inlineStr">
        <is>
          <t>Completed</t>
        </is>
      </c>
      <c r="G393" s="40" t="inlineStr">
        <is>
          <t>Completed</t>
        </is>
      </c>
      <c r="H393" s="39" t="n">
        <v>2</v>
      </c>
      <c r="I393" s="40" t="inlineStr">
        <is>
          <t>2025-09-29</t>
        </is>
      </c>
      <c r="J393" s="40" t="inlineStr">
        <is>
          <t>2025-10-23</t>
        </is>
      </c>
      <c r="K393" s="39" t="n">
        <v>24</v>
      </c>
      <c r="L393" s="38" t="inlineStr">
        <is>
          <t>Yes</t>
        </is>
      </c>
      <c r="M393" s="40" t="inlineStr"/>
      <c r="N393" s="40" t="inlineStr">
        <is>
          <t>Application</t>
        </is>
      </c>
    </row>
    <row r="394" ht="14" customHeight="1">
      <c r="A394" s="35" t="n">
        <v>394</v>
      </c>
      <c r="B394" s="36" t="inlineStr">
        <is>
          <t>YIA2927_UHM</t>
        </is>
      </c>
      <c r="C394" s="36" t="inlineStr">
        <is>
          <t>DP-CRF-7544</t>
        </is>
      </c>
      <c r="D394" s="37" t="inlineStr">
        <is>
          <t>DP-CRF-7544-V1-01-AS-x86_64-W11</t>
        </is>
      </c>
      <c r="E394" s="36" t="inlineStr">
        <is>
          <t>Prasanth S</t>
        </is>
      </c>
      <c r="F394" s="36" t="inlineStr">
        <is>
          <t>On-Going</t>
        </is>
      </c>
      <c r="G394" s="36" t="inlineStr">
        <is>
          <t>On-Going</t>
        </is>
      </c>
      <c r="H394" s="35" t="n">
        <v>2</v>
      </c>
      <c r="I394" s="36" t="inlineStr">
        <is>
          <t>2025-09-29</t>
        </is>
      </c>
      <c r="J394" s="36" t="inlineStr">
        <is>
          <t>2025-10-29</t>
        </is>
      </c>
      <c r="K394" s="35" t="n">
        <v>30</v>
      </c>
      <c r="L394" s="38" t="inlineStr">
        <is>
          <t>Yes</t>
        </is>
      </c>
      <c r="M394" s="36" t="inlineStr"/>
      <c r="N394" s="36" t="inlineStr">
        <is>
          <t>Application</t>
        </is>
      </c>
    </row>
    <row r="395" ht="14" customHeight="1">
      <c r="A395" s="39" t="n">
        <v>395</v>
      </c>
      <c r="B395" s="40" t="inlineStr">
        <is>
          <t>YEA2864_AFADECU_ATE</t>
        </is>
      </c>
      <c r="C395" s="40" t="inlineStr">
        <is>
          <t>DP-ATE-8456</t>
        </is>
      </c>
      <c r="D395" s="41" t="inlineStr">
        <is>
          <t>DP-ATE-8456-V1-01-AS-SERVER-X86_64-LIN5V14</t>
        </is>
      </c>
      <c r="E395" s="40" t="inlineStr">
        <is>
          <t>Aravinth R</t>
        </is>
      </c>
      <c r="F395" s="40" t="inlineStr">
        <is>
          <t>On-Going</t>
        </is>
      </c>
      <c r="G395" s="40" t="inlineStr">
        <is>
          <t>On-Going</t>
        </is>
      </c>
      <c r="H395" s="39" t="n">
        <v>35</v>
      </c>
      <c r="I395" s="40" t="inlineStr">
        <is>
          <t>2025-03-12</t>
        </is>
      </c>
      <c r="J395" s="40" t="inlineStr">
        <is>
          <t>2026-01-10</t>
        </is>
      </c>
      <c r="K395" s="39" t="n">
        <v>304</v>
      </c>
      <c r="L395" s="38" t="inlineStr">
        <is>
          <t>Yes</t>
        </is>
      </c>
      <c r="M395" s="40" t="inlineStr"/>
      <c r="N395" s="40" t="inlineStr">
        <is>
          <t>Application</t>
        </is>
      </c>
    </row>
    <row r="396" ht="14" customHeight="1">
      <c r="A396" s="35" t="n">
        <v>396</v>
      </c>
      <c r="B396" s="36" t="inlineStr">
        <is>
          <t>YEA2864_AFADECU_ATE</t>
        </is>
      </c>
      <c r="C396" s="36" t="inlineStr">
        <is>
          <t>DP-ATE-8456</t>
        </is>
      </c>
      <c r="D396" s="37" t="inlineStr">
        <is>
          <t>DP-ATE-8456-V1-01-AS-CLIENT-X86_64-LIN5V14</t>
        </is>
      </c>
      <c r="E396" s="36" t="inlineStr">
        <is>
          <t>Aravinth R</t>
        </is>
      </c>
      <c r="F396" s="36" t="inlineStr">
        <is>
          <t>On-Going</t>
        </is>
      </c>
      <c r="G396" s="36" t="inlineStr">
        <is>
          <t>On-Going</t>
        </is>
      </c>
      <c r="H396" s="35" t="n">
        <v>23</v>
      </c>
      <c r="I396" s="36" t="inlineStr">
        <is>
          <t>2025-03-12</t>
        </is>
      </c>
      <c r="J396" s="36" t="inlineStr">
        <is>
          <t>2026-01-10</t>
        </is>
      </c>
      <c r="K396" s="35" t="n">
        <v>304</v>
      </c>
      <c r="L396" s="38" t="inlineStr">
        <is>
          <t>Yes</t>
        </is>
      </c>
      <c r="M396" s="36" t="inlineStr"/>
      <c r="N396" s="36" t="inlineStr">
        <is>
          <t>Application</t>
        </is>
      </c>
    </row>
    <row r="397" ht="14" customHeight="1">
      <c r="A397" s="39" t="n">
        <v>397</v>
      </c>
      <c r="B397" s="40" t="inlineStr">
        <is>
          <t>YEB3016_600CH_DAS</t>
        </is>
      </c>
      <c r="C397" s="40" t="inlineStr">
        <is>
          <t>DP-ATE-8483</t>
        </is>
      </c>
      <c r="D397" s="41" t="inlineStr">
        <is>
          <t>DP-ATE-8483-V1-01-AS-SLV-x86_64-LIN5V14</t>
        </is>
      </c>
      <c r="E397" s="40" t="inlineStr">
        <is>
          <t>Duraisankar V</t>
        </is>
      </c>
      <c r="F397" s="40" t="inlineStr">
        <is>
          <t>On-Going</t>
        </is>
      </c>
      <c r="G397" s="40" t="inlineStr">
        <is>
          <t>On-Going</t>
        </is>
      </c>
      <c r="H397" s="39" t="n">
        <v>2</v>
      </c>
      <c r="I397" s="40" t="inlineStr">
        <is>
          <t>2025-10-01</t>
        </is>
      </c>
      <c r="J397" s="40" t="inlineStr">
        <is>
          <t>2025-10-01</t>
        </is>
      </c>
      <c r="K397" s="39" t="n">
        <v>0</v>
      </c>
      <c r="L397" s="38" t="inlineStr">
        <is>
          <t>Yes</t>
        </is>
      </c>
      <c r="M397" s="40" t="inlineStr"/>
      <c r="N397" s="40" t="inlineStr">
        <is>
          <t>Application</t>
        </is>
      </c>
    </row>
    <row r="398" ht="14" customHeight="1">
      <c r="A398" s="35" t="n">
        <v>398</v>
      </c>
      <c r="B398" s="36" t="inlineStr">
        <is>
          <t>YEB3016_600CH_DAS</t>
        </is>
      </c>
      <c r="C398" s="36" t="inlineStr">
        <is>
          <t>DP-ATE-8483</t>
        </is>
      </c>
      <c r="D398" s="37" t="inlineStr">
        <is>
          <t>DP-ATE-8483-V1-01-AS-MST-x86_64-W11</t>
        </is>
      </c>
      <c r="E398" s="36" t="inlineStr">
        <is>
          <t>Duraisankar V</t>
        </is>
      </c>
      <c r="F398" s="36" t="inlineStr">
        <is>
          <t>On-Going</t>
        </is>
      </c>
      <c r="G398" s="36" t="inlineStr">
        <is>
          <t>On-Going</t>
        </is>
      </c>
      <c r="H398" s="35" t="n">
        <v>2</v>
      </c>
      <c r="I398" s="36" t="inlineStr">
        <is>
          <t>2025-10-01</t>
        </is>
      </c>
      <c r="J398" s="36" t="inlineStr">
        <is>
          <t>2025-10-01</t>
        </is>
      </c>
      <c r="K398" s="35" t="n">
        <v>0</v>
      </c>
      <c r="L398" s="38" t="inlineStr">
        <is>
          <t>Yes</t>
        </is>
      </c>
      <c r="M398" s="36" t="inlineStr"/>
      <c r="N398" s="36" t="inlineStr">
        <is>
          <t>Application</t>
        </is>
      </c>
    </row>
    <row r="399" ht="14" customHeight="1">
      <c r="A399" s="39" t="n">
        <v>399</v>
      </c>
      <c r="B399" s="40" t="inlineStr">
        <is>
          <t>YEB3016_600CH_DAS</t>
        </is>
      </c>
      <c r="C399" s="40" t="inlineStr">
        <is>
          <t>DP-ATE-8483</t>
        </is>
      </c>
      <c r="D399" s="41" t="inlineStr">
        <is>
          <t>DP-ATE-8435-V1-01-AS-OA-X86_64-W11</t>
        </is>
      </c>
      <c r="E399" s="40" t="inlineStr">
        <is>
          <t>Vijaykumar B</t>
        </is>
      </c>
      <c r="F399" s="40" t="inlineStr">
        <is>
          <t>On-Going</t>
        </is>
      </c>
      <c r="G399" s="40" t="inlineStr">
        <is>
          <t>On-Going</t>
        </is>
      </c>
      <c r="H399" s="39" t="n">
        <v>1</v>
      </c>
      <c r="I399" s="40" t="inlineStr">
        <is>
          <t>2025-10-01</t>
        </is>
      </c>
      <c r="J399" s="40" t="inlineStr">
        <is>
          <t>2025-10-01</t>
        </is>
      </c>
      <c r="K399" s="39" t="n">
        <v>0</v>
      </c>
      <c r="L399" s="38" t="inlineStr">
        <is>
          <t>Yes</t>
        </is>
      </c>
      <c r="M399" s="40" t="inlineStr"/>
      <c r="N399" s="40" t="inlineStr">
        <is>
          <t>Application</t>
        </is>
      </c>
    </row>
    <row r="400" ht="14" customHeight="1">
      <c r="A400" s="35" t="n">
        <v>400</v>
      </c>
      <c r="B400" s="36" t="inlineStr">
        <is>
          <t>YEB3016_600CH_DAS</t>
        </is>
      </c>
      <c r="C400" s="36" t="inlineStr">
        <is>
          <t>DP-ATE-8489</t>
        </is>
      </c>
      <c r="D400" s="37" t="inlineStr">
        <is>
          <t>DP-ATE-8489-V1-01-AS-AVD-x86_64-W11</t>
        </is>
      </c>
      <c r="E400" s="36" t="inlineStr">
        <is>
          <t>Duraisankar V</t>
        </is>
      </c>
      <c r="F400" s="36" t="inlineStr">
        <is>
          <t>On-Going</t>
        </is>
      </c>
      <c r="G400" s="36" t="inlineStr">
        <is>
          <t>On-Going</t>
        </is>
      </c>
      <c r="H400" s="35" t="n">
        <v>0</v>
      </c>
      <c r="I400" s="36" t="inlineStr"/>
      <c r="J400" s="36" t="inlineStr"/>
      <c r="K400" s="35" t="n">
        <v>0</v>
      </c>
      <c r="L400" s="42" t="inlineStr">
        <is>
          <t>No</t>
        </is>
      </c>
      <c r="M400" s="36" t="inlineStr"/>
      <c r="N400" s="36" t="inlineStr">
        <is>
          <t>Application</t>
        </is>
      </c>
    </row>
    <row r="401" ht="14" customHeight="1">
      <c r="A401" s="39" t="n">
        <v>401</v>
      </c>
      <c r="B401" s="40" t="inlineStr">
        <is>
          <t>YEC2982_CBAND_TRANSMITTER</t>
        </is>
      </c>
      <c r="C401" s="40" t="inlineStr">
        <is>
          <t>DP-RDR-8335</t>
        </is>
      </c>
      <c r="D401" s="41" t="inlineStr">
        <is>
          <t>DP-RDR-8335-V1-01-AS-SYS-X86-XEN2V6</t>
        </is>
      </c>
      <c r="E401" s="40" t="inlineStr">
        <is>
          <t>Giriprakash K</t>
        </is>
      </c>
      <c r="F401" s="40" t="inlineStr">
        <is>
          <t>On-Going</t>
        </is>
      </c>
      <c r="G401" s="40" t="inlineStr">
        <is>
          <t>On-Going</t>
        </is>
      </c>
      <c r="H401" s="39" t="n">
        <v>0</v>
      </c>
      <c r="I401" s="40" t="inlineStr"/>
      <c r="J401" s="40" t="inlineStr"/>
      <c r="K401" s="39" t="n">
        <v>0</v>
      </c>
      <c r="L401" s="42" t="inlineStr">
        <is>
          <t>No</t>
        </is>
      </c>
      <c r="M401" s="40" t="inlineStr"/>
      <c r="N401" s="40" t="inlineStr">
        <is>
          <t>Application</t>
        </is>
      </c>
    </row>
    <row r="402" ht="14" customHeight="1">
      <c r="A402" s="35" t="n">
        <v>402</v>
      </c>
      <c r="B402" s="36" t="inlineStr">
        <is>
          <t>YEC2982_CBAND_TRANSMITTER</t>
        </is>
      </c>
      <c r="C402" s="36" t="inlineStr">
        <is>
          <t>DP-RDR-8335</t>
        </is>
      </c>
      <c r="D402" s="37" t="inlineStr">
        <is>
          <t>DP-RDR-8335-V1-01-AS-RMT-X86-XEN2V6</t>
        </is>
      </c>
      <c r="E402" s="36" t="inlineStr">
        <is>
          <t>Giriprakash K</t>
        </is>
      </c>
      <c r="F402" s="36" t="inlineStr">
        <is>
          <t>On-Going</t>
        </is>
      </c>
      <c r="G402" s="36" t="inlineStr">
        <is>
          <t>On-Going</t>
        </is>
      </c>
      <c r="H402" s="35" t="n">
        <v>0</v>
      </c>
      <c r="I402" s="36" t="inlineStr"/>
      <c r="J402" s="36" t="inlineStr"/>
      <c r="K402" s="35" t="n">
        <v>0</v>
      </c>
      <c r="L402" s="42" t="inlineStr">
        <is>
          <t>No</t>
        </is>
      </c>
      <c r="M402" s="36" t="inlineStr"/>
      <c r="N402" s="36" t="inlineStr">
        <is>
          <t>Application</t>
        </is>
      </c>
    </row>
    <row r="403" ht="14" customHeight="1">
      <c r="A403" s="39" t="n">
        <v>403</v>
      </c>
      <c r="B403" s="40" t="inlineStr">
        <is>
          <t>YEB2800</t>
        </is>
      </c>
      <c r="C403" s="40" t="inlineStr">
        <is>
          <t>DP-RFSS-7148</t>
        </is>
      </c>
      <c r="D403" s="41" t="inlineStr">
        <is>
          <t>DP-RFSS-7148-V1-AS-W10</t>
        </is>
      </c>
      <c r="E403" s="40" t="inlineStr">
        <is>
          <t>Abisheck</t>
        </is>
      </c>
      <c r="F403" s="40" t="inlineStr">
        <is>
          <t>On-Hold</t>
        </is>
      </c>
      <c r="G403" s="40" t="inlineStr">
        <is>
          <t>On-Hold</t>
        </is>
      </c>
      <c r="H403" s="39" t="n">
        <v>12</v>
      </c>
      <c r="I403" s="40" t="inlineStr">
        <is>
          <t>2025-02-05</t>
        </is>
      </c>
      <c r="J403" s="40" t="inlineStr">
        <is>
          <t>2025-11-11</t>
        </is>
      </c>
      <c r="K403" s="39" t="n">
        <v>279</v>
      </c>
      <c r="L403" s="38" t="inlineStr">
        <is>
          <t>Yes</t>
        </is>
      </c>
      <c r="M403" s="40" t="inlineStr"/>
      <c r="N403" s="40" t="inlineStr">
        <is>
          <t>Application</t>
        </is>
      </c>
    </row>
    <row r="404" ht="14" customHeight="1">
      <c r="A404" s="35" t="n">
        <v>404</v>
      </c>
      <c r="B404" s="36" t="inlineStr"/>
      <c r="C404" s="36" t="inlineStr"/>
      <c r="D404" s="37" t="inlineStr">
        <is>
          <t>DP-RFSS-7148-V1-LIBS-W10</t>
        </is>
      </c>
      <c r="E404" s="36" t="inlineStr"/>
      <c r="F404" s="36" t="inlineStr">
        <is>
          <t>On-Hold</t>
        </is>
      </c>
      <c r="G404" s="36" t="inlineStr">
        <is>
          <t>On-Hold</t>
        </is>
      </c>
      <c r="H404" s="35" t="n">
        <v>6</v>
      </c>
      <c r="I404" s="36" t="inlineStr">
        <is>
          <t>2025-02-05</t>
        </is>
      </c>
      <c r="J404" s="36" t="inlineStr">
        <is>
          <t>2025-11-11</t>
        </is>
      </c>
      <c r="K404" s="35" t="n">
        <v>279</v>
      </c>
      <c r="L404" s="38" t="inlineStr">
        <is>
          <t>Yes</t>
        </is>
      </c>
      <c r="M404" s="36" t="inlineStr"/>
      <c r="N404" s="36" t="inlineStr">
        <is>
          <t>Application</t>
        </is>
      </c>
    </row>
    <row r="405" ht="14" customHeight="1">
      <c r="A405" s="39" t="n">
        <v>405</v>
      </c>
      <c r="B405" s="40" t="inlineStr"/>
      <c r="C405" s="40" t="inlineStr">
        <is>
          <t>DP-CRF-7457-663</t>
        </is>
      </c>
      <c r="D405" s="41" t="inlineStr">
        <is>
          <t>DP-CRF-7457-663-V1-AS-W10</t>
        </is>
      </c>
      <c r="E405" s="40" t="inlineStr">
        <is>
          <t>Dinesh</t>
        </is>
      </c>
      <c r="F405" s="40" t="inlineStr">
        <is>
          <t>On-Going</t>
        </is>
      </c>
      <c r="G405" s="40" t="inlineStr">
        <is>
          <t>On-Going</t>
        </is>
      </c>
      <c r="H405" s="39" t="n">
        <v>8</v>
      </c>
      <c r="I405" s="40" t="inlineStr">
        <is>
          <t>2025-12-17</t>
        </is>
      </c>
      <c r="J405" s="40" t="inlineStr">
        <is>
          <t>2026-02-03</t>
        </is>
      </c>
      <c r="K405" s="39" t="n">
        <v>48</v>
      </c>
      <c r="L405" s="38" t="inlineStr">
        <is>
          <t>Yes</t>
        </is>
      </c>
      <c r="M405" s="40" t="inlineStr"/>
      <c r="N405" s="40" t="inlineStr">
        <is>
          <t>Application</t>
        </is>
      </c>
    </row>
    <row r="406" ht="14" customHeight="1">
      <c r="A406" s="35" t="n">
        <v>406</v>
      </c>
      <c r="B406" s="36" t="inlineStr"/>
      <c r="C406" s="36" t="inlineStr">
        <is>
          <t>DP-SPL-7153</t>
        </is>
      </c>
      <c r="D406" s="37" t="inlineStr">
        <is>
          <t>DP-SPL-7153</t>
        </is>
      </c>
      <c r="E406" s="36" t="inlineStr">
        <is>
          <t>Venkatesh/Ramesh</t>
        </is>
      </c>
      <c r="F406" s="36" t="inlineStr">
        <is>
          <t>On-Hold</t>
        </is>
      </c>
      <c r="G406" s="36" t="inlineStr">
        <is>
          <t>On-Hold</t>
        </is>
      </c>
      <c r="H406" s="35" t="n">
        <v>22</v>
      </c>
      <c r="I406" s="36" t="inlineStr">
        <is>
          <t>2025-02-13</t>
        </is>
      </c>
      <c r="J406" s="36" t="inlineStr">
        <is>
          <t>2026-02-11</t>
        </is>
      </c>
      <c r="K406" s="35" t="n">
        <v>363</v>
      </c>
      <c r="L406" s="38" t="inlineStr">
        <is>
          <t>Yes</t>
        </is>
      </c>
      <c r="M406" s="36" t="inlineStr"/>
      <c r="N406" s="36" t="inlineStr">
        <is>
          <t>Application</t>
        </is>
      </c>
    </row>
    <row r="407" ht="14" customHeight="1">
      <c r="A407" s="39" t="n">
        <v>407</v>
      </c>
      <c r="B407" s="40" t="inlineStr"/>
      <c r="C407" s="40" t="inlineStr">
        <is>
          <t>DP-RFSS-7142</t>
        </is>
      </c>
      <c r="D407" s="41" t="inlineStr">
        <is>
          <t>DP-RFSS-7142</t>
        </is>
      </c>
      <c r="E407" s="40" t="inlineStr">
        <is>
          <t>Venkatesh</t>
        </is>
      </c>
      <c r="F407" s="40" t="inlineStr">
        <is>
          <t>Completed</t>
        </is>
      </c>
      <c r="G407" s="40" t="inlineStr">
        <is>
          <t>Completed</t>
        </is>
      </c>
      <c r="H407" s="39" t="n">
        <v>107</v>
      </c>
      <c r="I407" s="40" t="inlineStr">
        <is>
          <t>2025-03-05</t>
        </is>
      </c>
      <c r="J407" s="40" t="inlineStr">
        <is>
          <t>2026-02-02</t>
        </is>
      </c>
      <c r="K407" s="39" t="n">
        <v>334</v>
      </c>
      <c r="L407" s="38" t="inlineStr">
        <is>
          <t>Yes</t>
        </is>
      </c>
      <c r="M407" s="40" t="inlineStr"/>
      <c r="N407" s="40" t="inlineStr">
        <is>
          <t>Application</t>
        </is>
      </c>
    </row>
    <row r="408" ht="14" customHeight="1">
      <c r="A408" s="35" t="n">
        <v>408</v>
      </c>
      <c r="B408" s="36" t="inlineStr"/>
      <c r="C408" s="36" t="inlineStr">
        <is>
          <t>DP-ANT-7094</t>
        </is>
      </c>
      <c r="D408" s="37" t="inlineStr"/>
      <c r="E408" s="36" t="inlineStr"/>
      <c r="F408" s="36" t="inlineStr">
        <is>
          <t>Completed</t>
        </is>
      </c>
      <c r="G408" s="36" t="inlineStr">
        <is>
          <t>Completed</t>
        </is>
      </c>
      <c r="H408" s="35" t="n">
        <v>0</v>
      </c>
      <c r="I408" s="36" t="inlineStr"/>
      <c r="J408" s="36" t="inlineStr"/>
      <c r="K408" s="35" t="n">
        <v>0</v>
      </c>
      <c r="L408" s="38" t="inlineStr">
        <is>
          <t>Yes</t>
        </is>
      </c>
      <c r="M408" s="36" t="inlineStr"/>
      <c r="N408" s="36" t="inlineStr">
        <is>
          <t>Application</t>
        </is>
      </c>
    </row>
    <row r="409" ht="14" customHeight="1">
      <c r="A409" s="39" t="n">
        <v>409</v>
      </c>
      <c r="B409" s="40" t="inlineStr"/>
      <c r="C409" s="40" t="inlineStr">
        <is>
          <t>DP-RFSS-7145</t>
        </is>
      </c>
      <c r="D409" s="41" t="inlineStr">
        <is>
          <t>DP-CRF-7145-V1-AS-W10</t>
        </is>
      </c>
      <c r="E409" s="40" t="inlineStr">
        <is>
          <t>Bhavani</t>
        </is>
      </c>
      <c r="F409" s="40" t="inlineStr">
        <is>
          <t>On-Going</t>
        </is>
      </c>
      <c r="G409" s="40" t="inlineStr">
        <is>
          <t>On-Going</t>
        </is>
      </c>
      <c r="H409" s="39" t="n">
        <v>101</v>
      </c>
      <c r="I409" s="40" t="inlineStr">
        <is>
          <t>2025-02-13</t>
        </is>
      </c>
      <c r="J409" s="40" t="inlineStr">
        <is>
          <t>2026-02-09</t>
        </is>
      </c>
      <c r="K409" s="39" t="n">
        <v>361</v>
      </c>
      <c r="L409" s="38" t="inlineStr">
        <is>
          <t>Yes</t>
        </is>
      </c>
      <c r="M409" s="40" t="inlineStr"/>
      <c r="N409" s="40" t="inlineStr">
        <is>
          <t>Application</t>
        </is>
      </c>
    </row>
    <row r="410" ht="14" customHeight="1">
      <c r="A410" s="35" t="n">
        <v>410</v>
      </c>
      <c r="B410" s="36" t="inlineStr"/>
      <c r="C410" s="36" t="inlineStr">
        <is>
          <t>DP-CRF-7316</t>
        </is>
      </c>
      <c r="D410" s="37" t="inlineStr">
        <is>
          <t>DP-CRF-7316-V1-AS-W10</t>
        </is>
      </c>
      <c r="E410" s="36" t="inlineStr">
        <is>
          <t>Poornima/Venkatesh</t>
        </is>
      </c>
      <c r="F410" s="36" t="inlineStr">
        <is>
          <t>Completed</t>
        </is>
      </c>
      <c r="G410" s="36" t="inlineStr">
        <is>
          <t>Completed</t>
        </is>
      </c>
      <c r="H410" s="35" t="n">
        <v>102</v>
      </c>
      <c r="I410" s="36" t="inlineStr">
        <is>
          <t>2025-02-05</t>
        </is>
      </c>
      <c r="J410" s="36" t="inlineStr">
        <is>
          <t>2026-02-11</t>
        </is>
      </c>
      <c r="K410" s="35" t="n">
        <v>371</v>
      </c>
      <c r="L410" s="38" t="inlineStr">
        <is>
          <t>Yes</t>
        </is>
      </c>
      <c r="M410" s="36" t="inlineStr"/>
      <c r="N410" s="36" t="inlineStr">
        <is>
          <t>Application</t>
        </is>
      </c>
    </row>
    <row r="411" ht="14" customHeight="1">
      <c r="A411" s="39" t="n">
        <v>411</v>
      </c>
      <c r="B411" s="40" t="inlineStr"/>
      <c r="C411" s="40" t="inlineStr">
        <is>
          <t>DP-CRF-7457</t>
        </is>
      </c>
      <c r="D411" s="41" t="inlineStr"/>
      <c r="E411" s="40" t="inlineStr"/>
      <c r="F411" s="40" t="inlineStr"/>
      <c r="G411" s="40" t="inlineStr"/>
      <c r="H411" s="39" t="n">
        <v>0</v>
      </c>
      <c r="I411" s="40" t="inlineStr"/>
      <c r="J411" s="40" t="inlineStr"/>
      <c r="K411" s="39" t="n">
        <v>0</v>
      </c>
      <c r="L411" s="38" t="inlineStr">
        <is>
          <t>Yes</t>
        </is>
      </c>
      <c r="M411" s="40" t="inlineStr"/>
      <c r="N411" s="40" t="inlineStr">
        <is>
          <t>Application</t>
        </is>
      </c>
    </row>
    <row r="412" ht="14" customHeight="1">
      <c r="A412" s="35" t="n">
        <v>412</v>
      </c>
      <c r="B412" s="36" t="inlineStr">
        <is>
          <t>YEC3048</t>
        </is>
      </c>
      <c r="C412" s="36" t="inlineStr">
        <is>
          <t>DP-CRF-5381</t>
        </is>
      </c>
      <c r="D412" s="37" t="inlineStr">
        <is>
          <t>DP-CRF-5381-V1-WIN-AS</t>
        </is>
      </c>
      <c r="E412" s="36" t="inlineStr">
        <is>
          <t>Abisheck</t>
        </is>
      </c>
      <c r="F412" s="36" t="inlineStr">
        <is>
          <t>On-Going</t>
        </is>
      </c>
      <c r="G412" s="36" t="inlineStr">
        <is>
          <t>On-Going</t>
        </is>
      </c>
      <c r="H412" s="35" t="n">
        <v>10</v>
      </c>
      <c r="I412" s="36" t="inlineStr">
        <is>
          <t>2026-02-05</t>
        </is>
      </c>
      <c r="J412" s="36" t="inlineStr">
        <is>
          <t>2026-02-11</t>
        </is>
      </c>
      <c r="K412" s="35" t="n">
        <v>6</v>
      </c>
      <c r="L412" s="38" t="inlineStr">
        <is>
          <t>Yes</t>
        </is>
      </c>
      <c r="M412" s="36" t="inlineStr"/>
      <c r="N412" s="36" t="inlineStr">
        <is>
          <t>Application</t>
        </is>
      </c>
    </row>
    <row r="413" ht="14" customHeight="1">
      <c r="A413" s="39" t="n">
        <v>413</v>
      </c>
      <c r="B413" s="40" t="inlineStr"/>
      <c r="C413" s="40" t="inlineStr"/>
      <c r="D413" s="41" t="inlineStr">
        <is>
          <t>DP-CRF-5381-V1-WIN-LIBS</t>
        </is>
      </c>
      <c r="E413" s="40" t="inlineStr"/>
      <c r="F413" s="40" t="inlineStr">
        <is>
          <t>On-Going</t>
        </is>
      </c>
      <c r="G413" s="40" t="inlineStr">
        <is>
          <t>On-Going</t>
        </is>
      </c>
      <c r="H413" s="39" t="n">
        <v>1</v>
      </c>
      <c r="I413" s="40" t="inlineStr">
        <is>
          <t>2026-02-05</t>
        </is>
      </c>
      <c r="J413" s="40" t="inlineStr">
        <is>
          <t>2026-02-05</t>
        </is>
      </c>
      <c r="K413" s="39" t="n">
        <v>0</v>
      </c>
      <c r="L413" s="38" t="inlineStr">
        <is>
          <t>Yes</t>
        </is>
      </c>
      <c r="M413" s="40" t="inlineStr"/>
      <c r="N413" s="40" t="inlineStr">
        <is>
          <t>Application</t>
        </is>
      </c>
    </row>
    <row r="414" ht="14" customHeight="1">
      <c r="A414" s="35" t="n">
        <v>414</v>
      </c>
      <c r="B414" s="36" t="inlineStr"/>
      <c r="C414" s="36" t="inlineStr">
        <is>
          <t>DP-CRF-5384</t>
        </is>
      </c>
      <c r="D414" s="37" t="inlineStr">
        <is>
          <t>DP-CRF-5384-V1-WIN-AS</t>
        </is>
      </c>
      <c r="E414" s="36" t="inlineStr">
        <is>
          <t>Dinesh</t>
        </is>
      </c>
      <c r="F414" s="36" t="inlineStr">
        <is>
          <t>On-Going</t>
        </is>
      </c>
      <c r="G414" s="36" t="inlineStr">
        <is>
          <t>On-Going</t>
        </is>
      </c>
      <c r="H414" s="35" t="n">
        <v>1</v>
      </c>
      <c r="I414" s="36" t="inlineStr">
        <is>
          <t>2026-02-05</t>
        </is>
      </c>
      <c r="J414" s="36" t="inlineStr">
        <is>
          <t>2026-02-05</t>
        </is>
      </c>
      <c r="K414" s="35" t="n">
        <v>0</v>
      </c>
      <c r="L414" s="38" t="inlineStr">
        <is>
          <t>Yes</t>
        </is>
      </c>
      <c r="M414" s="36" t="inlineStr"/>
      <c r="N414" s="36" t="inlineStr">
        <is>
          <t>Application</t>
        </is>
      </c>
    </row>
    <row r="415" ht="14" customHeight="1">
      <c r="A415" s="39" t="n">
        <v>415</v>
      </c>
      <c r="B415" s="40" t="inlineStr"/>
      <c r="C415" s="40" t="inlineStr"/>
      <c r="D415" s="41" t="inlineStr">
        <is>
          <t>DP-CRF-5384-V1-WIN-LIBS</t>
        </is>
      </c>
      <c r="E415" s="40" t="inlineStr"/>
      <c r="F415" s="40" t="inlineStr">
        <is>
          <t>On-Going</t>
        </is>
      </c>
      <c r="G415" s="40" t="inlineStr">
        <is>
          <t>On-Going</t>
        </is>
      </c>
      <c r="H415" s="39" t="n">
        <v>1</v>
      </c>
      <c r="I415" s="40" t="inlineStr">
        <is>
          <t>2026-02-05</t>
        </is>
      </c>
      <c r="J415" s="40" t="inlineStr">
        <is>
          <t>2026-02-05</t>
        </is>
      </c>
      <c r="K415" s="39" t="n">
        <v>0</v>
      </c>
      <c r="L415" s="38" t="inlineStr">
        <is>
          <t>Yes</t>
        </is>
      </c>
      <c r="M415" s="40" t="inlineStr"/>
      <c r="N415" s="40" t="inlineStr">
        <is>
          <t>Application</t>
        </is>
      </c>
    </row>
    <row r="416" ht="14" customHeight="1">
      <c r="A416" s="35" t="n">
        <v>416</v>
      </c>
      <c r="B416" s="36" t="inlineStr"/>
      <c r="C416" s="36" t="inlineStr">
        <is>
          <t>DP-VPX-2615</t>
        </is>
      </c>
      <c r="D416" s="37" t="inlineStr">
        <is>
          <t>DP-VPX-2615</t>
        </is>
      </c>
      <c r="E416" s="36" t="inlineStr">
        <is>
          <t>Jai ganesh</t>
        </is>
      </c>
      <c r="F416" s="36" t="inlineStr">
        <is>
          <t>On-Going</t>
        </is>
      </c>
      <c r="G416" s="36" t="inlineStr">
        <is>
          <t>On-Going</t>
        </is>
      </c>
      <c r="H416" s="35" t="n">
        <v>7</v>
      </c>
      <c r="I416" s="36" t="inlineStr">
        <is>
          <t>2025-12-22</t>
        </is>
      </c>
      <c r="J416" s="36" t="inlineStr">
        <is>
          <t>2026-02-11</t>
        </is>
      </c>
      <c r="K416" s="35" t="n">
        <v>51</v>
      </c>
      <c r="L416" s="38" t="inlineStr">
        <is>
          <t>Yes</t>
        </is>
      </c>
      <c r="M416" s="36" t="inlineStr"/>
      <c r="N416" s="36" t="inlineStr">
        <is>
          <t>Application</t>
        </is>
      </c>
    </row>
    <row r="417" ht="14" customHeight="1">
      <c r="A417" s="39" t="n">
        <v>417</v>
      </c>
      <c r="B417" s="40" t="inlineStr"/>
      <c r="C417" s="40" t="inlineStr"/>
      <c r="D417" s="41" t="inlineStr">
        <is>
          <t>DP-VPX-2615-V1-01-LIBS-X64-W10</t>
        </is>
      </c>
      <c r="E417" s="40" t="inlineStr"/>
      <c r="F417" s="40" t="inlineStr">
        <is>
          <t>On-Going</t>
        </is>
      </c>
      <c r="G417" s="40" t="inlineStr">
        <is>
          <t>On-Going</t>
        </is>
      </c>
      <c r="H417" s="39" t="n">
        <v>3</v>
      </c>
      <c r="I417" s="40" t="inlineStr">
        <is>
          <t>2025-12-22</t>
        </is>
      </c>
      <c r="J417" s="40" t="inlineStr">
        <is>
          <t>2026-01-02</t>
        </is>
      </c>
      <c r="K417" s="39" t="n">
        <v>11</v>
      </c>
      <c r="L417" s="38" t="inlineStr">
        <is>
          <t>Yes</t>
        </is>
      </c>
      <c r="M417" s="40" t="inlineStr"/>
      <c r="N417" s="40" t="inlineStr">
        <is>
          <t>Application</t>
        </is>
      </c>
    </row>
    <row r="418" ht="14" customHeight="1">
      <c r="A418" s="35" t="n">
        <v>418</v>
      </c>
      <c r="B418" s="36" t="inlineStr">
        <is>
          <t>YIA2652</t>
        </is>
      </c>
      <c r="C418" s="36" t="inlineStr">
        <is>
          <t>DP-CRF-8072</t>
        </is>
      </c>
      <c r="D418" s="37" t="inlineStr">
        <is>
          <t>DP-RFSS-8072-V1-WINS-AS</t>
        </is>
      </c>
      <c r="E418" s="36" t="inlineStr">
        <is>
          <t>Abisheck</t>
        </is>
      </c>
      <c r="F418" s="36" t="inlineStr">
        <is>
          <t>On-Hold</t>
        </is>
      </c>
      <c r="G418" s="36" t="inlineStr">
        <is>
          <t>On-Hold</t>
        </is>
      </c>
      <c r="H418" s="35" t="n">
        <v>3</v>
      </c>
      <c r="I418" s="36" t="inlineStr">
        <is>
          <t>2025-10-31</t>
        </is>
      </c>
      <c r="J418" s="36" t="inlineStr">
        <is>
          <t>2025-11-11</t>
        </is>
      </c>
      <c r="K418" s="35" t="n">
        <v>11</v>
      </c>
      <c r="L418" s="38" t="inlineStr">
        <is>
          <t>Yes</t>
        </is>
      </c>
      <c r="M418" s="36" t="inlineStr"/>
      <c r="N418" s="36" t="inlineStr">
        <is>
          <t>Application</t>
        </is>
      </c>
    </row>
    <row r="419" ht="14" customHeight="1">
      <c r="A419" s="39" t="n">
        <v>419</v>
      </c>
      <c r="B419" s="40" t="inlineStr"/>
      <c r="C419" s="40" t="inlineStr"/>
      <c r="D419" s="41" t="inlineStr">
        <is>
          <t>DP-RFSS-8072-V1-WNS-LIBS</t>
        </is>
      </c>
      <c r="E419" s="40" t="inlineStr"/>
      <c r="F419" s="40" t="inlineStr">
        <is>
          <t>On-Hold</t>
        </is>
      </c>
      <c r="G419" s="40" t="inlineStr">
        <is>
          <t>On-Hold</t>
        </is>
      </c>
      <c r="H419" s="39" t="n">
        <v>3</v>
      </c>
      <c r="I419" s="40" t="inlineStr">
        <is>
          <t>2025-10-31</t>
        </is>
      </c>
      <c r="J419" s="40" t="inlineStr">
        <is>
          <t>2025-11-11</t>
        </is>
      </c>
      <c r="K419" s="39" t="n">
        <v>11</v>
      </c>
      <c r="L419" s="38" t="inlineStr">
        <is>
          <t>Yes</t>
        </is>
      </c>
      <c r="M419" s="40" t="inlineStr"/>
      <c r="N419" s="40" t="inlineStr">
        <is>
          <t>Application</t>
        </is>
      </c>
    </row>
    <row r="420" ht="14" customHeight="1">
      <c r="A420" s="35" t="n">
        <v>420</v>
      </c>
      <c r="B420" s="36" t="inlineStr">
        <is>
          <t>YIA2927</t>
        </is>
      </c>
      <c r="C420" s="36" t="inlineStr">
        <is>
          <t>DP-SPL-5389</t>
        </is>
      </c>
      <c r="D420" s="37" t="inlineStr">
        <is>
          <t>DP-SPL-5389-V1-WIN-AS</t>
        </is>
      </c>
      <c r="E420" s="36" t="inlineStr">
        <is>
          <t>Poornima</t>
        </is>
      </c>
      <c r="F420" s="36" t="inlineStr">
        <is>
          <t>On-Going</t>
        </is>
      </c>
      <c r="G420" s="36" t="inlineStr">
        <is>
          <t>On-Going</t>
        </is>
      </c>
      <c r="H420" s="35" t="n">
        <v>17</v>
      </c>
      <c r="I420" s="36" t="inlineStr">
        <is>
          <t>2025-12-09</t>
        </is>
      </c>
      <c r="J420" s="36" t="inlineStr">
        <is>
          <t>2026-02-11</t>
        </is>
      </c>
      <c r="K420" s="35" t="n">
        <v>64</v>
      </c>
      <c r="L420" s="38" t="inlineStr">
        <is>
          <t>Yes</t>
        </is>
      </c>
      <c r="M420" s="36" t="inlineStr"/>
      <c r="N420" s="36" t="inlineStr">
        <is>
          <t>Application</t>
        </is>
      </c>
    </row>
    <row r="421" ht="14" customHeight="1">
      <c r="A421" s="39" t="n">
        <v>421</v>
      </c>
      <c r="B421" s="40" t="inlineStr"/>
      <c r="C421" s="40" t="inlineStr"/>
      <c r="D421" s="41" t="inlineStr">
        <is>
          <t>DP-SPL-5389-V1-WIN-LIBS</t>
        </is>
      </c>
      <c r="E421" s="40" t="inlineStr"/>
      <c r="F421" s="40" t="inlineStr">
        <is>
          <t>On-Going</t>
        </is>
      </c>
      <c r="G421" s="40" t="inlineStr">
        <is>
          <t>On-Going</t>
        </is>
      </c>
      <c r="H421" s="39" t="n">
        <v>13</v>
      </c>
      <c r="I421" s="40" t="inlineStr">
        <is>
          <t>2025-12-09</t>
        </is>
      </c>
      <c r="J421" s="40" t="inlineStr">
        <is>
          <t>2026-01-29</t>
        </is>
      </c>
      <c r="K421" s="39" t="n">
        <v>51</v>
      </c>
      <c r="L421" s="38" t="inlineStr">
        <is>
          <t>Yes</t>
        </is>
      </c>
      <c r="M421" s="40" t="inlineStr"/>
      <c r="N421" s="40" t="inlineStr">
        <is>
          <t>Application</t>
        </is>
      </c>
    </row>
    <row r="422" ht="14" customHeight="1">
      <c r="A422" s="35" t="n">
        <v>422</v>
      </c>
      <c r="B422" s="36" t="inlineStr">
        <is>
          <t>YEA2885</t>
        </is>
      </c>
      <c r="C422" s="36" t="inlineStr">
        <is>
          <t>DP-CRF-7391</t>
        </is>
      </c>
      <c r="D422" s="37" t="inlineStr">
        <is>
          <t>DP-SPL-7391-V1-AS-X64-W10</t>
        </is>
      </c>
      <c r="E422" s="36" t="inlineStr">
        <is>
          <t>Shivaram</t>
        </is>
      </c>
      <c r="F422" s="36" t="inlineStr">
        <is>
          <t>Completed</t>
        </is>
      </c>
      <c r="G422" s="36" t="inlineStr">
        <is>
          <t>Completed</t>
        </is>
      </c>
      <c r="H422" s="35" t="n">
        <v>58</v>
      </c>
      <c r="I422" s="36" t="inlineStr">
        <is>
          <t>2024-12-19</t>
        </is>
      </c>
      <c r="J422" s="36" t="inlineStr">
        <is>
          <t>2025-12-08</t>
        </is>
      </c>
      <c r="K422" s="35" t="n">
        <v>354</v>
      </c>
      <c r="L422" s="38" t="inlineStr">
        <is>
          <t>Yes</t>
        </is>
      </c>
      <c r="M422" s="36" t="inlineStr"/>
      <c r="N422" s="36" t="inlineStr">
        <is>
          <t>Application</t>
        </is>
      </c>
    </row>
    <row r="423" ht="14" customHeight="1">
      <c r="A423" s="39" t="n">
        <v>423</v>
      </c>
      <c r="B423" s="40" t="inlineStr">
        <is>
          <t>YEA2885</t>
        </is>
      </c>
      <c r="C423" s="40" t="inlineStr">
        <is>
          <t>DP-BFU-8002</t>
        </is>
      </c>
      <c r="D423" s="41" t="inlineStr">
        <is>
          <t>DP-BFU-8002-603-V1-AS-X64-W10</t>
        </is>
      </c>
      <c r="E423" s="40" t="inlineStr">
        <is>
          <t>Shivaram</t>
        </is>
      </c>
      <c r="F423" s="40" t="inlineStr">
        <is>
          <t>Completed</t>
        </is>
      </c>
      <c r="G423" s="40" t="inlineStr">
        <is>
          <t>Completed</t>
        </is>
      </c>
      <c r="H423" s="39" t="n">
        <v>101</v>
      </c>
      <c r="I423" s="40" t="inlineStr">
        <is>
          <t>2025-03-11</t>
        </is>
      </c>
      <c r="J423" s="40" t="inlineStr">
        <is>
          <t>2026-02-10</t>
        </is>
      </c>
      <c r="K423" s="39" t="n">
        <v>336</v>
      </c>
      <c r="L423" s="38" t="inlineStr">
        <is>
          <t>Yes</t>
        </is>
      </c>
      <c r="M423" s="40" t="inlineStr"/>
      <c r="N423" s="40" t="inlineStr">
        <is>
          <t>Application</t>
        </is>
      </c>
    </row>
    <row r="424" ht="14" customHeight="1">
      <c r="A424" s="35" t="n">
        <v>424</v>
      </c>
      <c r="B424" s="36" t="inlineStr"/>
      <c r="C424" s="36" t="inlineStr"/>
      <c r="D424" s="37" t="inlineStr">
        <is>
          <t>DP-BFU-8002-603-V1-LIBS-X64-W10</t>
        </is>
      </c>
      <c r="E424" s="36" t="inlineStr"/>
      <c r="F424" s="36" t="inlineStr">
        <is>
          <t>Completed</t>
        </is>
      </c>
      <c r="G424" s="36" t="inlineStr">
        <is>
          <t>Completed</t>
        </is>
      </c>
      <c r="H424" s="35" t="n">
        <v>13</v>
      </c>
      <c r="I424" s="36" t="inlineStr">
        <is>
          <t>2025-03-11</t>
        </is>
      </c>
      <c r="J424" s="36" t="inlineStr">
        <is>
          <t>2026-01-28</t>
        </is>
      </c>
      <c r="K424" s="35" t="n">
        <v>323</v>
      </c>
      <c r="L424" s="38" t="inlineStr">
        <is>
          <t>Yes</t>
        </is>
      </c>
      <c r="M424" s="36" t="inlineStr"/>
      <c r="N424" s="36" t="inlineStr">
        <is>
          <t>Application</t>
        </is>
      </c>
    </row>
    <row r="425" ht="14" customHeight="1">
      <c r="A425" s="39" t="n">
        <v>425</v>
      </c>
      <c r="B425" s="40" t="inlineStr">
        <is>
          <t>YEA2885</t>
        </is>
      </c>
      <c r="C425" s="40" t="inlineStr">
        <is>
          <t>DP-SPL-1009</t>
        </is>
      </c>
      <c r="D425" s="41" t="inlineStr">
        <is>
          <t>DP-SPL-1009-V1-01-AS-X64-W10</t>
        </is>
      </c>
      <c r="E425" s="40" t="inlineStr">
        <is>
          <t>Yogeswaran</t>
        </is>
      </c>
      <c r="F425" s="40" t="inlineStr">
        <is>
          <t>Completed</t>
        </is>
      </c>
      <c r="G425" s="40" t="inlineStr">
        <is>
          <t>Completed</t>
        </is>
      </c>
      <c r="H425" s="39" t="n">
        <v>149</v>
      </c>
      <c r="I425" s="40" t="inlineStr">
        <is>
          <t>2025-01-10</t>
        </is>
      </c>
      <c r="J425" s="40" t="inlineStr">
        <is>
          <t>2026-01-07</t>
        </is>
      </c>
      <c r="K425" s="39" t="n">
        <v>362</v>
      </c>
      <c r="L425" s="38" t="inlineStr">
        <is>
          <t>Yes</t>
        </is>
      </c>
      <c r="M425" s="40" t="inlineStr"/>
      <c r="N425" s="40" t="inlineStr">
        <is>
          <t>Application</t>
        </is>
      </c>
    </row>
    <row r="426" ht="14" customHeight="1">
      <c r="A426" s="35" t="n">
        <v>426</v>
      </c>
      <c r="B426" s="36" t="inlineStr"/>
      <c r="C426" s="36" t="inlineStr"/>
      <c r="D426" s="37" t="inlineStr">
        <is>
          <t>DP-SPL-1009-V1-01-LIBS-X64-W10</t>
        </is>
      </c>
      <c r="E426" s="36" t="inlineStr"/>
      <c r="F426" s="36" t="inlineStr">
        <is>
          <t>Completed</t>
        </is>
      </c>
      <c r="G426" s="36" t="inlineStr">
        <is>
          <t>Completed</t>
        </is>
      </c>
      <c r="H426" s="35" t="n">
        <v>102</v>
      </c>
      <c r="I426" s="36" t="inlineStr">
        <is>
          <t>2025-01-10</t>
        </is>
      </c>
      <c r="J426" s="36" t="inlineStr">
        <is>
          <t>2026-01-07</t>
        </is>
      </c>
      <c r="K426" s="35" t="n">
        <v>362</v>
      </c>
      <c r="L426" s="38" t="inlineStr">
        <is>
          <t>Yes</t>
        </is>
      </c>
      <c r="M426" s="36" t="inlineStr"/>
      <c r="N426" s="36" t="inlineStr">
        <is>
          <t>Application</t>
        </is>
      </c>
    </row>
    <row r="427" ht="14" customHeight="1">
      <c r="A427" s="39" t="n">
        <v>427</v>
      </c>
      <c r="B427" s="40" t="inlineStr">
        <is>
          <t>YEA2885</t>
        </is>
      </c>
      <c r="C427" s="40" t="inlineStr">
        <is>
          <t>DP-SPL-7201</t>
        </is>
      </c>
      <c r="D427" s="41" t="inlineStr">
        <is>
          <t>DP-SPL-7201-V1-02-AS-X64-W10</t>
        </is>
      </c>
      <c r="E427" s="40" t="inlineStr">
        <is>
          <t>Arunkumar</t>
        </is>
      </c>
      <c r="F427" s="40" t="inlineStr">
        <is>
          <t>Completed</t>
        </is>
      </c>
      <c r="G427" s="40" t="inlineStr">
        <is>
          <t>Completed</t>
        </is>
      </c>
      <c r="H427" s="39" t="n">
        <v>3</v>
      </c>
      <c r="I427" s="40" t="inlineStr">
        <is>
          <t>2025-01-07</t>
        </is>
      </c>
      <c r="J427" s="40" t="inlineStr">
        <is>
          <t>2025-02-13</t>
        </is>
      </c>
      <c r="K427" s="39" t="n">
        <v>37</v>
      </c>
      <c r="L427" s="38" t="inlineStr">
        <is>
          <t>Yes</t>
        </is>
      </c>
      <c r="M427" s="40" t="inlineStr"/>
      <c r="N427" s="40" t="inlineStr">
        <is>
          <t>Application</t>
        </is>
      </c>
    </row>
    <row r="428" ht="14" customHeight="1">
      <c r="A428" s="35" t="n">
        <v>428</v>
      </c>
      <c r="B428" s="36" t="inlineStr"/>
      <c r="C428" s="36" t="inlineStr"/>
      <c r="D428" s="37" t="inlineStr">
        <is>
          <t>DP-SPL-7201-V1-02-LIBS-X64-W10</t>
        </is>
      </c>
      <c r="E428" s="36" t="inlineStr"/>
      <c r="F428" s="36" t="inlineStr">
        <is>
          <t>Completed</t>
        </is>
      </c>
      <c r="G428" s="36" t="inlineStr">
        <is>
          <t>Completed</t>
        </is>
      </c>
      <c r="H428" s="35" t="n">
        <v>17</v>
      </c>
      <c r="I428" s="36" t="inlineStr">
        <is>
          <t>2025-01-07</t>
        </is>
      </c>
      <c r="J428" s="36" t="inlineStr">
        <is>
          <t>2025-09-16</t>
        </is>
      </c>
      <c r="K428" s="35" t="n">
        <v>252</v>
      </c>
      <c r="L428" s="38" t="inlineStr">
        <is>
          <t>Yes</t>
        </is>
      </c>
      <c r="M428" s="36" t="inlineStr"/>
      <c r="N428" s="36" t="inlineStr">
        <is>
          <t>Application</t>
        </is>
      </c>
    </row>
    <row r="429" ht="14" customHeight="1">
      <c r="A429" s="39" t="n">
        <v>429</v>
      </c>
      <c r="B429" s="40" t="inlineStr">
        <is>
          <t>YEA2885</t>
        </is>
      </c>
      <c r="C429" s="40" t="inlineStr">
        <is>
          <t>DP-TRG-8184</t>
        </is>
      </c>
      <c r="D429" s="41" t="inlineStr">
        <is>
          <t>DP-TRG-8184-V1-02-AS-X64-W10</t>
        </is>
      </c>
      <c r="E429" s="40" t="inlineStr">
        <is>
          <t>Venkatesh</t>
        </is>
      </c>
      <c r="F429" s="40" t="inlineStr">
        <is>
          <t>Completed</t>
        </is>
      </c>
      <c r="G429" s="40" t="inlineStr">
        <is>
          <t>Completed</t>
        </is>
      </c>
      <c r="H429" s="39" t="n">
        <v>58</v>
      </c>
      <c r="I429" s="40" t="inlineStr">
        <is>
          <t>2025-01-16</t>
        </is>
      </c>
      <c r="J429" s="40" t="inlineStr">
        <is>
          <t>2026-01-31</t>
        </is>
      </c>
      <c r="K429" s="39" t="n">
        <v>380</v>
      </c>
      <c r="L429" s="38" t="inlineStr">
        <is>
          <t>Yes</t>
        </is>
      </c>
      <c r="M429" s="40" t="inlineStr"/>
      <c r="N429" s="40" t="inlineStr">
        <is>
          <t>Application</t>
        </is>
      </c>
    </row>
    <row r="430" ht="14" customHeight="1">
      <c r="A430" s="35" t="n">
        <v>430</v>
      </c>
      <c r="B430" s="36" t="inlineStr">
        <is>
          <t>YEA2930</t>
        </is>
      </c>
      <c r="C430" s="36" t="inlineStr">
        <is>
          <t>DP-TRG-8226</t>
        </is>
      </c>
      <c r="D430" s="37" t="inlineStr">
        <is>
          <t>DP-TRG-8226-V1-01-AS-X64-W10</t>
        </is>
      </c>
      <c r="E430" s="36" t="inlineStr">
        <is>
          <t>Shivaram</t>
        </is>
      </c>
      <c r="F430" s="36" t="inlineStr">
        <is>
          <t>On-Going</t>
        </is>
      </c>
      <c r="G430" s="36" t="inlineStr">
        <is>
          <t>On-Going</t>
        </is>
      </c>
      <c r="H430" s="35" t="n">
        <v>31</v>
      </c>
      <c r="I430" s="36" t="inlineStr">
        <is>
          <t>2026-01-03</t>
        </is>
      </c>
      <c r="J430" s="36" t="inlineStr">
        <is>
          <t>2026-02-11</t>
        </is>
      </c>
      <c r="K430" s="35" t="n">
        <v>39</v>
      </c>
      <c r="L430" s="38" t="inlineStr">
        <is>
          <t>Yes</t>
        </is>
      </c>
      <c r="M430" s="36" t="inlineStr"/>
      <c r="N430" s="36" t="inlineStr">
        <is>
          <t>Application</t>
        </is>
      </c>
    </row>
    <row r="431" ht="14" customHeight="1">
      <c r="A431" s="39" t="n">
        <v>431</v>
      </c>
      <c r="B431" s="40" t="inlineStr">
        <is>
          <t>YEA2930</t>
        </is>
      </c>
      <c r="C431" s="40" t="inlineStr">
        <is>
          <t>DP-ATE-8498</t>
        </is>
      </c>
      <c r="D431" s="41" t="inlineStr">
        <is>
          <t>DP-ATE-8498-V1-01-AS-X64-W10</t>
        </is>
      </c>
      <c r="E431" s="40" t="inlineStr">
        <is>
          <t>Krishnakumar</t>
        </is>
      </c>
      <c r="F431" s="40" t="inlineStr">
        <is>
          <t>Completed</t>
        </is>
      </c>
      <c r="G431" s="40" t="inlineStr">
        <is>
          <t>Completed</t>
        </is>
      </c>
      <c r="H431" s="39" t="n">
        <v>80</v>
      </c>
      <c r="I431" s="40" t="inlineStr">
        <is>
          <t>2025-11-14</t>
        </is>
      </c>
      <c r="J431" s="40" t="inlineStr">
        <is>
          <t>2026-02-11</t>
        </is>
      </c>
      <c r="K431" s="39" t="n">
        <v>89</v>
      </c>
      <c r="L431" s="38" t="inlineStr">
        <is>
          <t>Yes</t>
        </is>
      </c>
      <c r="M431" s="40" t="inlineStr"/>
      <c r="N431" s="40" t="inlineStr">
        <is>
          <t>Application</t>
        </is>
      </c>
    </row>
    <row r="432" ht="14" customHeight="1">
      <c r="A432" s="35" t="n">
        <v>432</v>
      </c>
      <c r="B432" s="36" t="inlineStr">
        <is>
          <t>YEA2930</t>
        </is>
      </c>
      <c r="C432" s="36" t="inlineStr">
        <is>
          <t>DP-SSPA-5148</t>
        </is>
      </c>
      <c r="D432" s="37" t="inlineStr">
        <is>
          <t>DP-SSPA-5148-V1-02-AS-X64-W10</t>
        </is>
      </c>
      <c r="E432" s="36" t="inlineStr">
        <is>
          <t>Sasikumar</t>
        </is>
      </c>
      <c r="F432" s="36" t="inlineStr">
        <is>
          <t>On-Going</t>
        </is>
      </c>
      <c r="G432" s="36" t="inlineStr">
        <is>
          <t>On-Going</t>
        </is>
      </c>
      <c r="H432" s="35" t="n">
        <v>2</v>
      </c>
      <c r="I432" s="36" t="inlineStr">
        <is>
          <t>2026-02-09</t>
        </is>
      </c>
      <c r="J432" s="36" t="inlineStr">
        <is>
          <t>2026-02-12</t>
        </is>
      </c>
      <c r="K432" s="35" t="n">
        <v>3</v>
      </c>
      <c r="L432" s="38" t="inlineStr">
        <is>
          <t>Yes</t>
        </is>
      </c>
      <c r="M432" s="36" t="inlineStr"/>
      <c r="N432" s="36" t="inlineStr">
        <is>
          <t>Application</t>
        </is>
      </c>
    </row>
    <row r="433" ht="14" customHeight="1">
      <c r="A433" s="39" t="n">
        <v>433</v>
      </c>
      <c r="B433" s="40" t="inlineStr">
        <is>
          <t>Common Utilities</t>
        </is>
      </c>
      <c r="C433" s="40" t="inlineStr">
        <is>
          <t>Parameter Definer</t>
        </is>
      </c>
      <c r="D433" s="41" t="inlineStr">
        <is>
          <t>DP-SDG-CMN-V1-US-PARAMDEF-X64-W10</t>
        </is>
      </c>
      <c r="E433" s="40" t="inlineStr">
        <is>
          <t>Shivaram</t>
        </is>
      </c>
      <c r="F433" s="40" t="inlineStr">
        <is>
          <t>On-Going</t>
        </is>
      </c>
      <c r="G433" s="40" t="inlineStr">
        <is>
          <t>On-Going</t>
        </is>
      </c>
      <c r="H433" s="39" t="n">
        <v>9</v>
      </c>
      <c r="I433" s="40" t="inlineStr">
        <is>
          <t>2025-09-19</t>
        </is>
      </c>
      <c r="J433" s="40" t="inlineStr">
        <is>
          <t>2025-12-05</t>
        </is>
      </c>
      <c r="K433" s="39" t="n">
        <v>77</v>
      </c>
      <c r="L433" s="38" t="inlineStr">
        <is>
          <t>Yes</t>
        </is>
      </c>
      <c r="M433" s="40" t="inlineStr"/>
      <c r="N433" s="40" t="inlineStr">
        <is>
          <t>Application</t>
        </is>
      </c>
    </row>
    <row r="434" ht="14" customHeight="1">
      <c r="A434" s="35" t="n">
        <v>434</v>
      </c>
      <c r="B434" s="36" t="inlineStr">
        <is>
          <t>Common Utilities</t>
        </is>
      </c>
      <c r="C434" s="36" t="inlineStr">
        <is>
          <t>Configuration Definer</t>
        </is>
      </c>
      <c r="D434" s="37" t="inlineStr">
        <is>
          <t>DP-SDG-CMN-V1-US-CFGDEF-X64-W10</t>
        </is>
      </c>
      <c r="E434" s="36" t="inlineStr">
        <is>
          <t>Shivaram</t>
        </is>
      </c>
      <c r="F434" s="36" t="inlineStr">
        <is>
          <t>On-Going</t>
        </is>
      </c>
      <c r="G434" s="36" t="inlineStr">
        <is>
          <t>On-Going</t>
        </is>
      </c>
      <c r="H434" s="35" t="n">
        <v>5</v>
      </c>
      <c r="I434" s="36" t="inlineStr">
        <is>
          <t>2025-09-19</t>
        </is>
      </c>
      <c r="J434" s="36" t="inlineStr">
        <is>
          <t>2025-12-03</t>
        </is>
      </c>
      <c r="K434" s="35" t="n">
        <v>75</v>
      </c>
      <c r="L434" s="38" t="inlineStr">
        <is>
          <t>Yes</t>
        </is>
      </c>
      <c r="M434" s="36" t="inlineStr"/>
      <c r="N434" s="36" t="inlineStr">
        <is>
          <t>Application</t>
        </is>
      </c>
    </row>
    <row r="435" ht="14" customHeight="1">
      <c r="A435" s="39" t="n">
        <v>435</v>
      </c>
      <c r="B435" s="40" t="inlineStr">
        <is>
          <t>Common Utilities</t>
        </is>
      </c>
      <c r="C435" s="40" t="inlineStr">
        <is>
          <t>Template Application</t>
        </is>
      </c>
      <c r="D435" s="41" t="inlineStr">
        <is>
          <t>DP-SDG-CMN-V1-AS-TEMPLATE-X64-W10</t>
        </is>
      </c>
      <c r="E435" s="40" t="inlineStr">
        <is>
          <t>Shivaram</t>
        </is>
      </c>
      <c r="F435" s="40" t="inlineStr">
        <is>
          <t>On-Going</t>
        </is>
      </c>
      <c r="G435" s="40" t="inlineStr">
        <is>
          <t>On-Going</t>
        </is>
      </c>
      <c r="H435" s="39" t="n">
        <v>12</v>
      </c>
      <c r="I435" s="40" t="inlineStr">
        <is>
          <t>2025-09-19</t>
        </is>
      </c>
      <c r="J435" s="40" t="inlineStr">
        <is>
          <t>2026-01-19</t>
        </is>
      </c>
      <c r="K435" s="39" t="n">
        <v>122</v>
      </c>
      <c r="L435" s="38" t="inlineStr">
        <is>
          <t>Yes</t>
        </is>
      </c>
      <c r="M435" s="40" t="inlineStr"/>
      <c r="N435" s="40" t="inlineStr">
        <is>
          <t>Application</t>
        </is>
      </c>
    </row>
    <row r="436" ht="14" customHeight="1">
      <c r="A436" s="35" t="n">
        <v>436</v>
      </c>
      <c r="B436" s="36" t="inlineStr">
        <is>
          <t>Common Utilities</t>
        </is>
      </c>
      <c r="C436" s="36" t="inlineStr">
        <is>
          <t>PDN Config Definer</t>
        </is>
      </c>
      <c r="D436" s="37" t="inlineStr">
        <is>
          <t>DP-SDG-CMN-AS-PDNAUTOCONFIG-X64-W10</t>
        </is>
      </c>
      <c r="E436" s="36" t="inlineStr">
        <is>
          <t>Shivaram</t>
        </is>
      </c>
      <c r="F436" s="36" t="inlineStr">
        <is>
          <t>On-Going</t>
        </is>
      </c>
      <c r="G436" s="36" t="inlineStr">
        <is>
          <t>On-Going</t>
        </is>
      </c>
      <c r="H436" s="35" t="n">
        <v>3</v>
      </c>
      <c r="I436" s="36" t="inlineStr">
        <is>
          <t>2025-12-19</t>
        </is>
      </c>
      <c r="J436" s="36" t="inlineStr">
        <is>
          <t>2025-12-23</t>
        </is>
      </c>
      <c r="K436" s="35" t="n">
        <v>4</v>
      </c>
      <c r="L436" s="38" t="inlineStr">
        <is>
          <t>Yes</t>
        </is>
      </c>
      <c r="M436" s="36" t="inlineStr"/>
      <c r="N436" s="36" t="inlineStr">
        <is>
          <t>Application</t>
        </is>
      </c>
    </row>
    <row r="437" ht="14" customHeight="1">
      <c r="A437" s="39" t="n">
        <v>437</v>
      </c>
      <c r="B437" s="40" t="inlineStr">
        <is>
          <t>Common Utilities</t>
        </is>
      </c>
      <c r="C437" s="40" t="inlineStr">
        <is>
          <t>Power Supply Monitoring</t>
        </is>
      </c>
      <c r="D437" s="41" t="inlineStr">
        <is>
          <t>DP-SDG-CMN-V1-AS-VM-X64-W10</t>
        </is>
      </c>
      <c r="E437" s="40" t="inlineStr">
        <is>
          <t>Shivaram</t>
        </is>
      </c>
      <c r="F437" s="40" t="inlineStr">
        <is>
          <t>On-Going</t>
        </is>
      </c>
      <c r="G437" s="40" t="inlineStr">
        <is>
          <t>On-Going</t>
        </is>
      </c>
      <c r="H437" s="39" t="n">
        <v>10</v>
      </c>
      <c r="I437" s="40" t="inlineStr">
        <is>
          <t>2025-10-29</t>
        </is>
      </c>
      <c r="J437" s="40" t="inlineStr">
        <is>
          <t>2026-02-12</t>
        </is>
      </c>
      <c r="K437" s="39" t="n">
        <v>106</v>
      </c>
      <c r="L437" s="38" t="inlineStr">
        <is>
          <t>Yes</t>
        </is>
      </c>
      <c r="M437" s="40" t="inlineStr"/>
      <c r="N437" s="40" t="inlineStr">
        <is>
          <t>Application</t>
        </is>
      </c>
    </row>
    <row r="438" ht="14" customHeight="1">
      <c r="A438" s="35" t="n">
        <v>438</v>
      </c>
      <c r="B438" s="36" t="inlineStr">
        <is>
          <t>Common Utilities</t>
        </is>
      </c>
      <c r="C438" s="36" t="inlineStr">
        <is>
          <t>Power Supply Plugin</t>
        </is>
      </c>
      <c r="D438" s="37" t="inlineStr">
        <is>
          <t>DP-SDG-CMN-V1-LIBS-PS-X64-W10</t>
        </is>
      </c>
      <c r="E438" s="36" t="inlineStr">
        <is>
          <t>Shivaram</t>
        </is>
      </c>
      <c r="F438" s="36" t="inlineStr">
        <is>
          <t>On-Going</t>
        </is>
      </c>
      <c r="G438" s="36" t="inlineStr">
        <is>
          <t>On-Going</t>
        </is>
      </c>
      <c r="H438" s="35" t="n">
        <v>25</v>
      </c>
      <c r="I438" s="36" t="inlineStr">
        <is>
          <t>2025-10-16</t>
        </is>
      </c>
      <c r="J438" s="36" t="inlineStr">
        <is>
          <t>2025-11-27</t>
        </is>
      </c>
      <c r="K438" s="35" t="n">
        <v>42</v>
      </c>
      <c r="L438" s="38" t="inlineStr">
        <is>
          <t>Yes</t>
        </is>
      </c>
      <c r="M438" s="36" t="inlineStr"/>
      <c r="N438" s="36" t="inlineStr">
        <is>
          <t>Application</t>
        </is>
      </c>
    </row>
    <row r="439" ht="14" customHeight="1">
      <c r="A439" s="39" t="n">
        <v>439</v>
      </c>
      <c r="B439" s="40" t="inlineStr">
        <is>
          <t>Common Utilities</t>
        </is>
      </c>
      <c r="C439" s="40" t="inlineStr">
        <is>
          <t>DMM Automation</t>
        </is>
      </c>
      <c r="D439" s="41" t="inlineStr">
        <is>
          <t>Dp-SDG-CMN-V1-AS-IMP-X64-W10</t>
        </is>
      </c>
      <c r="E439" s="40" t="inlineStr">
        <is>
          <t>Veeramainthan</t>
        </is>
      </c>
      <c r="F439" s="40" t="inlineStr">
        <is>
          <t>On-Going</t>
        </is>
      </c>
      <c r="G439" s="40" t="inlineStr">
        <is>
          <t>On-Going</t>
        </is>
      </c>
      <c r="H439" s="39" t="n">
        <v>2</v>
      </c>
      <c r="I439" s="40" t="inlineStr">
        <is>
          <t>2025-10-28</t>
        </is>
      </c>
      <c r="J439" s="40" t="inlineStr">
        <is>
          <t>2025-10-28</t>
        </is>
      </c>
      <c r="K439" s="39" t="n">
        <v>0</v>
      </c>
      <c r="L439" s="38" t="inlineStr">
        <is>
          <t>Yes</t>
        </is>
      </c>
      <c r="M439" s="40" t="inlineStr"/>
      <c r="N439" s="40" t="inlineStr">
        <is>
          <t>Application</t>
        </is>
      </c>
    </row>
    <row r="440" ht="14" customHeight="1">
      <c r="A440" s="35" t="n">
        <v>440</v>
      </c>
      <c r="B440" s="36" t="inlineStr">
        <is>
          <t>Common Utilities</t>
        </is>
      </c>
      <c r="C440" s="36" t="inlineStr">
        <is>
          <t>Report Generator</t>
        </is>
      </c>
      <c r="D440" s="37" t="inlineStr">
        <is>
          <t>DP-SDG-CMN-V1-US-RPTGEN-DATE-X64-W10</t>
        </is>
      </c>
      <c r="E440" s="36" t="inlineStr">
        <is>
          <t>Arunkumar</t>
        </is>
      </c>
      <c r="F440" s="36" t="inlineStr">
        <is>
          <t>On-Going</t>
        </is>
      </c>
      <c r="G440" s="36" t="inlineStr">
        <is>
          <t>On-Going</t>
        </is>
      </c>
      <c r="H440" s="35" t="n">
        <v>3</v>
      </c>
      <c r="I440" s="36" t="inlineStr">
        <is>
          <t>2025-09-23</t>
        </is>
      </c>
      <c r="J440" s="36" t="inlineStr">
        <is>
          <t>2025-12-19</t>
        </is>
      </c>
      <c r="K440" s="35" t="n">
        <v>87</v>
      </c>
      <c r="L440" s="38" t="inlineStr">
        <is>
          <t>Yes</t>
        </is>
      </c>
      <c r="M440" s="36" t="inlineStr"/>
      <c r="N440" s="36" t="inlineStr">
        <is>
          <t>Application</t>
        </is>
      </c>
    </row>
    <row r="441" ht="14" customHeight="1">
      <c r="A441" s="39" t="n">
        <v>441</v>
      </c>
      <c r="B441" s="40" t="inlineStr"/>
      <c r="C441" s="40" t="inlineStr"/>
      <c r="D441" s="41" t="inlineStr">
        <is>
          <t>DP-SDG-CMN-V1-US-RPTGEN-X64-W10</t>
        </is>
      </c>
      <c r="E441" s="40" t="inlineStr"/>
      <c r="F441" s="40" t="inlineStr">
        <is>
          <t>On-Going</t>
        </is>
      </c>
      <c r="G441" s="40" t="inlineStr">
        <is>
          <t>On-Going</t>
        </is>
      </c>
      <c r="H441" s="39" t="n">
        <v>4</v>
      </c>
      <c r="I441" s="40" t="inlineStr">
        <is>
          <t>2025-09-19</t>
        </is>
      </c>
      <c r="J441" s="40" t="inlineStr">
        <is>
          <t>2025-12-19</t>
        </is>
      </c>
      <c r="K441" s="39" t="n">
        <v>91</v>
      </c>
      <c r="L441" s="38" t="inlineStr">
        <is>
          <t>Yes</t>
        </is>
      </c>
      <c r="M441" s="40" t="inlineStr"/>
      <c r="N441" s="40" t="inlineStr">
        <is>
          <t>Application</t>
        </is>
      </c>
    </row>
    <row r="442" ht="14" customHeight="1">
      <c r="A442" s="35" t="n">
        <v>442</v>
      </c>
      <c r="B442" s="36" t="inlineStr"/>
      <c r="C442" s="36" t="inlineStr"/>
      <c r="D442" s="37" t="inlineStr">
        <is>
          <t>DP-SDG-CMN-V1-US-RPTVIEW-X64-W10</t>
        </is>
      </c>
      <c r="E442" s="36" t="inlineStr"/>
      <c r="F442" s="36" t="inlineStr">
        <is>
          <t>On-Going</t>
        </is>
      </c>
      <c r="G442" s="36" t="inlineStr">
        <is>
          <t>On-Going</t>
        </is>
      </c>
      <c r="H442" s="35" t="n">
        <v>11</v>
      </c>
      <c r="I442" s="36" t="inlineStr">
        <is>
          <t>2025-10-31</t>
        </is>
      </c>
      <c r="J442" s="36" t="inlineStr">
        <is>
          <t>2025-12-12</t>
        </is>
      </c>
      <c r="K442" s="35" t="n">
        <v>42</v>
      </c>
      <c r="L442" s="38" t="inlineStr">
        <is>
          <t>Yes</t>
        </is>
      </c>
      <c r="M442" s="36" t="inlineStr"/>
      <c r="N442" s="36" t="inlineStr">
        <is>
          <t>Application</t>
        </is>
      </c>
    </row>
    <row r="443" ht="14" customHeight="1">
      <c r="A443" s="39" t="n">
        <v>443</v>
      </c>
      <c r="B443" s="40" t="inlineStr">
        <is>
          <t>Common Utilities</t>
        </is>
      </c>
      <c r="C443" s="40" t="inlineStr">
        <is>
          <t>Network analyzer</t>
        </is>
      </c>
      <c r="D443" s="41" t="inlineStr">
        <is>
          <t>DP-SDG-CMN-V1-AS-NA-x64-W10</t>
        </is>
      </c>
      <c r="E443" s="40" t="inlineStr">
        <is>
          <t>Jai ganesh</t>
        </is>
      </c>
      <c r="F443" s="40" t="inlineStr">
        <is>
          <t>On-Going</t>
        </is>
      </c>
      <c r="G443" s="40" t="inlineStr">
        <is>
          <t>On-Going</t>
        </is>
      </c>
      <c r="H443" s="39" t="n">
        <v>24</v>
      </c>
      <c r="I443" s="40" t="inlineStr">
        <is>
          <t>2025-10-13</t>
        </is>
      </c>
      <c r="J443" s="40" t="inlineStr">
        <is>
          <t>2025-12-23</t>
        </is>
      </c>
      <c r="K443" s="39" t="n">
        <v>71</v>
      </c>
      <c r="L443" s="38" t="inlineStr">
        <is>
          <t>Yes</t>
        </is>
      </c>
      <c r="M443" s="40" t="inlineStr"/>
      <c r="N443" s="40" t="inlineStr">
        <is>
          <t>Application</t>
        </is>
      </c>
    </row>
    <row r="444" ht="14" customHeight="1">
      <c r="A444" s="35" t="n">
        <v>444</v>
      </c>
      <c r="B444" s="36" t="inlineStr">
        <is>
          <t>Common Utilities</t>
        </is>
      </c>
      <c r="C444" s="36" t="inlineStr">
        <is>
          <t>Servo App</t>
        </is>
      </c>
      <c r="D444" s="37" t="inlineStr">
        <is>
          <t>DP-SDG-CMN-V1-US-ANTSERVO-X86-W10</t>
        </is>
      </c>
      <c r="E444" s="36" t="inlineStr">
        <is>
          <t>Krishnakumar</t>
        </is>
      </c>
      <c r="F444" s="36" t="inlineStr">
        <is>
          <t>On-Going</t>
        </is>
      </c>
      <c r="G444" s="36" t="inlineStr">
        <is>
          <t>On-Going</t>
        </is>
      </c>
      <c r="H444" s="35" t="n">
        <v>4</v>
      </c>
      <c r="I444" s="36" t="inlineStr">
        <is>
          <t>2025-11-05</t>
        </is>
      </c>
      <c r="J444" s="36" t="inlineStr">
        <is>
          <t>2025-11-05</t>
        </is>
      </c>
      <c r="K444" s="35" t="n">
        <v>0</v>
      </c>
      <c r="L444" s="38" t="inlineStr">
        <is>
          <t>Yes</t>
        </is>
      </c>
      <c r="M444" s="36" t="inlineStr"/>
      <c r="N444" s="36" t="inlineStr">
        <is>
          <t>Application</t>
        </is>
      </c>
    </row>
    <row r="445" ht="14" customHeight="1">
      <c r="A445" s="39" t="n">
        <v>445</v>
      </c>
      <c r="B445" s="40" t="inlineStr">
        <is>
          <t>BEC2801</t>
        </is>
      </c>
      <c r="C445" s="40" t="inlineStr">
        <is>
          <t>DP-VPX-5846</t>
        </is>
      </c>
      <c r="D445" s="41" t="inlineStr">
        <is>
          <t>DP-VPX-5846-V2-APPS-X86-W10</t>
        </is>
      </c>
      <c r="E445" s="40" t="inlineStr">
        <is>
          <t>Krishnakumar</t>
        </is>
      </c>
      <c r="F445" s="40" t="inlineStr">
        <is>
          <t>Completed</t>
        </is>
      </c>
      <c r="G445" s="40" t="inlineStr">
        <is>
          <t>Completed</t>
        </is>
      </c>
      <c r="H445" s="39" t="n">
        <v>14</v>
      </c>
      <c r="I445" s="40" t="inlineStr">
        <is>
          <t>2025-01-24</t>
        </is>
      </c>
      <c r="J445" s="40" t="inlineStr">
        <is>
          <t>2025-10-01</t>
        </is>
      </c>
      <c r="K445" s="39" t="n">
        <v>250</v>
      </c>
      <c r="L445" s="38" t="inlineStr">
        <is>
          <t>Yes</t>
        </is>
      </c>
      <c r="M445" s="40" t="inlineStr"/>
      <c r="N445" s="40" t="inlineStr">
        <is>
          <t>Application</t>
        </is>
      </c>
    </row>
    <row r="446" ht="14" customHeight="1">
      <c r="A446" s="35" t="n">
        <v>446</v>
      </c>
      <c r="B446" s="36" t="inlineStr">
        <is>
          <t>BEC2801</t>
        </is>
      </c>
      <c r="C446" s="36" t="inlineStr">
        <is>
          <t>DP-VPX-5846</t>
        </is>
      </c>
      <c r="D446" s="37" t="inlineStr">
        <is>
          <t>DP-VPX-5846-V2-LIBS-X86-W10</t>
        </is>
      </c>
      <c r="E446" s="36" t="inlineStr">
        <is>
          <t>Krishnakumar</t>
        </is>
      </c>
      <c r="F446" s="36" t="inlineStr">
        <is>
          <t>Completed</t>
        </is>
      </c>
      <c r="G446" s="36" t="inlineStr">
        <is>
          <t>Completed</t>
        </is>
      </c>
      <c r="H446" s="35" t="n">
        <v>7</v>
      </c>
      <c r="I446" s="36" t="inlineStr">
        <is>
          <t>2025-01-24</t>
        </is>
      </c>
      <c r="J446" s="36" t="inlineStr">
        <is>
          <t>2025-10-01</t>
        </is>
      </c>
      <c r="K446" s="35" t="n">
        <v>250</v>
      </c>
      <c r="L446" s="38" t="inlineStr">
        <is>
          <t>Yes</t>
        </is>
      </c>
      <c r="M446" s="36" t="inlineStr"/>
      <c r="N446" s="36" t="inlineStr">
        <is>
          <t>Application</t>
        </is>
      </c>
    </row>
    <row r="447" ht="14" customHeight="1">
      <c r="A447" s="39" t="n">
        <v>447</v>
      </c>
      <c r="B447" s="40" t="inlineStr">
        <is>
          <t>YEB2935</t>
        </is>
      </c>
      <c r="C447" s="40" t="inlineStr">
        <is>
          <t>DP-ECM-1071</t>
        </is>
      </c>
      <c r="D447" s="41" t="inlineStr">
        <is>
          <t>DP-ECM-1071-V1-02-AS-X86-W10</t>
        </is>
      </c>
      <c r="E447" s="40" t="inlineStr">
        <is>
          <t>Krishnakumar</t>
        </is>
      </c>
      <c r="F447" s="40" t="inlineStr">
        <is>
          <t>Completed</t>
        </is>
      </c>
      <c r="G447" s="40" t="inlineStr">
        <is>
          <t>Completed</t>
        </is>
      </c>
      <c r="H447" s="39" t="n">
        <v>24</v>
      </c>
      <c r="I447" s="40" t="inlineStr">
        <is>
          <t>2025-08-12</t>
        </is>
      </c>
      <c r="J447" s="40" t="inlineStr">
        <is>
          <t>2025-12-01</t>
        </is>
      </c>
      <c r="K447" s="39" t="n">
        <v>111</v>
      </c>
      <c r="L447" s="38" t="inlineStr">
        <is>
          <t>Yes</t>
        </is>
      </c>
      <c r="M447" s="40" t="inlineStr"/>
      <c r="N447" s="40" t="inlineStr">
        <is>
          <t>Application</t>
        </is>
      </c>
    </row>
    <row r="448" ht="14" customHeight="1">
      <c r="A448" s="35" t="n">
        <v>448</v>
      </c>
      <c r="B448" s="36" t="inlineStr">
        <is>
          <t>YEB2935</t>
        </is>
      </c>
      <c r="C448" s="36" t="inlineStr">
        <is>
          <t>DP-ECM-1071</t>
        </is>
      </c>
      <c r="D448" s="37" t="inlineStr">
        <is>
          <t>DP-ECM-1071-V1-02-AS-RPTTEMP-X86-W10</t>
        </is>
      </c>
      <c r="E448" s="36" t="inlineStr">
        <is>
          <t>Krishnakumar</t>
        </is>
      </c>
      <c r="F448" s="36" t="inlineStr">
        <is>
          <t>Completed</t>
        </is>
      </c>
      <c r="G448" s="36" t="inlineStr">
        <is>
          <t>Completed</t>
        </is>
      </c>
      <c r="H448" s="35" t="n">
        <v>3</v>
      </c>
      <c r="I448" s="36" t="inlineStr">
        <is>
          <t>2025-09-26</t>
        </is>
      </c>
      <c r="J448" s="36" t="inlineStr">
        <is>
          <t>2025-10-28</t>
        </is>
      </c>
      <c r="K448" s="35" t="n">
        <v>32</v>
      </c>
      <c r="L448" s="38" t="inlineStr">
        <is>
          <t>Yes</t>
        </is>
      </c>
      <c r="M448" s="36" t="inlineStr"/>
      <c r="N448" s="36" t="inlineStr">
        <is>
          <t>Application</t>
        </is>
      </c>
    </row>
    <row r="449" ht="14" customHeight="1">
      <c r="A449" s="39" t="n">
        <v>449</v>
      </c>
      <c r="B449" s="40" t="inlineStr">
        <is>
          <t>YEB2935</t>
        </is>
      </c>
      <c r="C449" s="40" t="inlineStr">
        <is>
          <t>DP-ECM-1074</t>
        </is>
      </c>
      <c r="D449" s="41" t="inlineStr">
        <is>
          <t>DP-ECM-1074-V1-02-AS-X86-W10</t>
        </is>
      </c>
      <c r="E449" s="40" t="inlineStr">
        <is>
          <t>Krishnakumar</t>
        </is>
      </c>
      <c r="F449" s="40" t="inlineStr">
        <is>
          <t>On-Hold</t>
        </is>
      </c>
      <c r="G449" s="40" t="inlineStr">
        <is>
          <t>On-Hold</t>
        </is>
      </c>
      <c r="H449" s="39" t="n">
        <v>4</v>
      </c>
      <c r="I449" s="40" t="inlineStr">
        <is>
          <t>2025-10-28</t>
        </is>
      </c>
      <c r="J449" s="40" t="inlineStr">
        <is>
          <t>2025-10-30</t>
        </is>
      </c>
      <c r="K449" s="39" t="n">
        <v>2</v>
      </c>
      <c r="L449" s="38" t="inlineStr">
        <is>
          <t>Yes</t>
        </is>
      </c>
      <c r="M449" s="40" t="inlineStr"/>
      <c r="N449" s="40" t="inlineStr">
        <is>
          <t>Application</t>
        </is>
      </c>
    </row>
    <row r="450" ht="14" customHeight="1">
      <c r="A450" s="35" t="n">
        <v>450</v>
      </c>
      <c r="B450" s="36" t="inlineStr"/>
      <c r="C450" s="36" t="inlineStr">
        <is>
          <t>DP-ESM-1212</t>
        </is>
      </c>
      <c r="D450" s="37" t="inlineStr">
        <is>
          <t>DP-ESM-1212-V1-02-AS-X86-W10</t>
        </is>
      </c>
      <c r="E450" s="36" t="inlineStr">
        <is>
          <t>Parthipan</t>
        </is>
      </c>
      <c r="F450" s="36" t="inlineStr">
        <is>
          <t>Completed</t>
        </is>
      </c>
      <c r="G450" s="36" t="inlineStr">
        <is>
          <t>Completed</t>
        </is>
      </c>
      <c r="H450" s="35" t="n">
        <v>30</v>
      </c>
      <c r="I450" s="36" t="inlineStr">
        <is>
          <t>2025-09-11</t>
        </is>
      </c>
      <c r="J450" s="36" t="inlineStr">
        <is>
          <t>2025-12-05</t>
        </is>
      </c>
      <c r="K450" s="35" t="n">
        <v>85</v>
      </c>
      <c r="L450" s="38" t="inlineStr">
        <is>
          <t>Yes</t>
        </is>
      </c>
      <c r="M450" s="36" t="inlineStr"/>
      <c r="N450" s="36" t="inlineStr">
        <is>
          <t>Application</t>
        </is>
      </c>
    </row>
    <row r="451" ht="14" customHeight="1">
      <c r="A451" s="39" t="n">
        <v>451</v>
      </c>
      <c r="B451" s="40" t="inlineStr"/>
      <c r="C451" s="40" t="inlineStr"/>
      <c r="D451" s="41" t="inlineStr">
        <is>
          <t>DP-ESM-1212-V1-02-AS-RPTTEMP-X86-W10</t>
        </is>
      </c>
      <c r="E451" s="40" t="inlineStr"/>
      <c r="F451" s="40" t="inlineStr">
        <is>
          <t>Completed</t>
        </is>
      </c>
      <c r="G451" s="40" t="inlineStr">
        <is>
          <t>Completed</t>
        </is>
      </c>
      <c r="H451" s="39" t="n">
        <v>4</v>
      </c>
      <c r="I451" s="40" t="inlineStr">
        <is>
          <t>2025-09-26</t>
        </is>
      </c>
      <c r="J451" s="40" t="inlineStr">
        <is>
          <t>2025-11-18</t>
        </is>
      </c>
      <c r="K451" s="39" t="n">
        <v>53</v>
      </c>
      <c r="L451" s="38" t="inlineStr">
        <is>
          <t>Yes</t>
        </is>
      </c>
      <c r="M451" s="40" t="inlineStr"/>
      <c r="N451" s="40" t="inlineStr">
        <is>
          <t>Application</t>
        </is>
      </c>
    </row>
    <row r="452" ht="14" customHeight="1">
      <c r="A452" s="35" t="n">
        <v>452</v>
      </c>
      <c r="B452" s="36" t="inlineStr">
        <is>
          <t>YIC2814</t>
        </is>
      </c>
      <c r="C452" s="36" t="inlineStr">
        <is>
          <t>DP-CRF-7286</t>
        </is>
      </c>
      <c r="D452" s="37" t="inlineStr">
        <is>
          <t>DP-CRF-7286-V1-AS-X64-W10</t>
        </is>
      </c>
      <c r="E452" s="36" t="inlineStr">
        <is>
          <t>Arunkumar</t>
        </is>
      </c>
      <c r="F452" s="36" t="inlineStr">
        <is>
          <t>Completed</t>
        </is>
      </c>
      <c r="G452" s="36" t="inlineStr">
        <is>
          <t>Completed</t>
        </is>
      </c>
      <c r="H452" s="35" t="n">
        <v>16</v>
      </c>
      <c r="I452" s="36" t="inlineStr">
        <is>
          <t>2025-02-18</t>
        </is>
      </c>
      <c r="J452" s="36" t="inlineStr">
        <is>
          <t>2025-11-21</t>
        </is>
      </c>
      <c r="K452" s="35" t="n">
        <v>276</v>
      </c>
      <c r="L452" s="38" t="inlineStr">
        <is>
          <t>Yes</t>
        </is>
      </c>
      <c r="M452" s="36" t="inlineStr"/>
      <c r="N452" s="36" t="inlineStr">
        <is>
          <t>Application</t>
        </is>
      </c>
    </row>
    <row r="453" ht="14" customHeight="1">
      <c r="A453" s="39" t="n">
        <v>453</v>
      </c>
      <c r="B453" s="40" t="inlineStr"/>
      <c r="C453" s="40" t="inlineStr"/>
      <c r="D453" s="41" t="inlineStr">
        <is>
          <t>DP-CRF-7286-V1-LIBS-X64-W10</t>
        </is>
      </c>
      <c r="E453" s="40" t="inlineStr"/>
      <c r="F453" s="40" t="inlineStr">
        <is>
          <t>Completed</t>
        </is>
      </c>
      <c r="G453" s="40" t="inlineStr">
        <is>
          <t>Completed</t>
        </is>
      </c>
      <c r="H453" s="39" t="n">
        <v>13</v>
      </c>
      <c r="I453" s="40" t="inlineStr">
        <is>
          <t>2025-02-18</t>
        </is>
      </c>
      <c r="J453" s="40" t="inlineStr">
        <is>
          <t>2025-11-21</t>
        </is>
      </c>
      <c r="K453" s="39" t="n">
        <v>276</v>
      </c>
      <c r="L453" s="38" t="inlineStr">
        <is>
          <t>Yes</t>
        </is>
      </c>
      <c r="M453" s="40" t="inlineStr"/>
      <c r="N453" s="40" t="inlineStr">
        <is>
          <t>Application</t>
        </is>
      </c>
    </row>
    <row r="454" ht="14" customHeight="1">
      <c r="A454" s="35" t="n">
        <v>454</v>
      </c>
      <c r="B454" s="36" t="inlineStr"/>
      <c r="C454" s="36" t="inlineStr">
        <is>
          <t>DP-CRF-7289</t>
        </is>
      </c>
      <c r="D454" s="37" t="inlineStr">
        <is>
          <t>DP-CRF-7289-V1-AS-X64-W10</t>
        </is>
      </c>
      <c r="E454" s="36" t="inlineStr"/>
      <c r="F454" s="36" t="inlineStr">
        <is>
          <t>On-Hold</t>
        </is>
      </c>
      <c r="G454" s="36" t="inlineStr">
        <is>
          <t>On-Hold</t>
        </is>
      </c>
      <c r="H454" s="35" t="n">
        <v>5</v>
      </c>
      <c r="I454" s="36" t="inlineStr">
        <is>
          <t>2025-06-12</t>
        </is>
      </c>
      <c r="J454" s="36" t="inlineStr">
        <is>
          <t>2026-01-27</t>
        </is>
      </c>
      <c r="K454" s="35" t="n">
        <v>229</v>
      </c>
      <c r="L454" s="38" t="inlineStr">
        <is>
          <t>Yes</t>
        </is>
      </c>
      <c r="M454" s="36" t="inlineStr"/>
      <c r="N454" s="36" t="inlineStr">
        <is>
          <t>Application</t>
        </is>
      </c>
    </row>
    <row r="455" ht="14" customHeight="1">
      <c r="A455" s="39" t="n">
        <v>455</v>
      </c>
      <c r="B455" s="40" t="inlineStr">
        <is>
          <t>YIC2814</t>
        </is>
      </c>
      <c r="C455" s="40" t="inlineStr"/>
      <c r="D455" s="41" t="inlineStr">
        <is>
          <t>DP-CRF-7289-V1-LIBS-X64-W10</t>
        </is>
      </c>
      <c r="E455" s="40" t="inlineStr">
        <is>
          <t>Arunkumar</t>
        </is>
      </c>
      <c r="F455" s="40" t="inlineStr">
        <is>
          <t>On-Hold</t>
        </is>
      </c>
      <c r="G455" s="40" t="inlineStr">
        <is>
          <t>On-Hold</t>
        </is>
      </c>
      <c r="H455" s="39" t="n">
        <v>5</v>
      </c>
      <c r="I455" s="40" t="inlineStr">
        <is>
          <t>2025-06-12</t>
        </is>
      </c>
      <c r="J455" s="40" t="inlineStr">
        <is>
          <t>2026-01-27</t>
        </is>
      </c>
      <c r="K455" s="39" t="n">
        <v>229</v>
      </c>
      <c r="L455" s="38" t="inlineStr">
        <is>
          <t>Yes</t>
        </is>
      </c>
      <c r="M455" s="40" t="inlineStr"/>
      <c r="N455" s="40" t="inlineStr">
        <is>
          <t>Application</t>
        </is>
      </c>
    </row>
    <row r="456" ht="14" customHeight="1">
      <c r="A456" s="35" t="n">
        <v>456</v>
      </c>
      <c r="B456" s="36" t="inlineStr">
        <is>
          <t>YEB2992</t>
        </is>
      </c>
      <c r="C456" s="36" t="inlineStr">
        <is>
          <t>DP-CHT-003-3960384</t>
        </is>
      </c>
      <c r="D456" s="37" t="inlineStr">
        <is>
          <t>DP-CHT-003-3960384-V1-AS-LT-X86-W10</t>
        </is>
      </c>
      <c r="E456" s="36" t="inlineStr">
        <is>
          <t>Arunkumar</t>
        </is>
      </c>
      <c r="F456" s="36" t="inlineStr">
        <is>
          <t>On-Hold</t>
        </is>
      </c>
      <c r="G456" s="36" t="inlineStr">
        <is>
          <t>On-Hold</t>
        </is>
      </c>
      <c r="H456" s="35" t="n">
        <v>22</v>
      </c>
      <c r="I456" s="36" t="inlineStr">
        <is>
          <t>2025-09-03</t>
        </is>
      </c>
      <c r="J456" s="36" t="inlineStr">
        <is>
          <t>2025-12-18</t>
        </is>
      </c>
      <c r="K456" s="35" t="n">
        <v>106</v>
      </c>
      <c r="L456" s="38" t="inlineStr">
        <is>
          <t>Yes</t>
        </is>
      </c>
      <c r="M456" s="36" t="inlineStr"/>
      <c r="N456" s="36" t="inlineStr">
        <is>
          <t>Application</t>
        </is>
      </c>
    </row>
    <row r="457" ht="14" customHeight="1">
      <c r="A457" s="39" t="n">
        <v>457</v>
      </c>
      <c r="B457" s="40" t="inlineStr"/>
      <c r="C457" s="40" t="inlineStr"/>
      <c r="D457" s="41" t="inlineStr">
        <is>
          <t>DP-CHT-003-3960384-V1-AS-APPINFO-X86-W10</t>
        </is>
      </c>
      <c r="E457" s="40" t="inlineStr"/>
      <c r="F457" s="40" t="inlineStr">
        <is>
          <t>On-Hold</t>
        </is>
      </c>
      <c r="G457" s="40" t="inlineStr">
        <is>
          <t>On-Hold</t>
        </is>
      </c>
      <c r="H457" s="39" t="n">
        <v>2</v>
      </c>
      <c r="I457" s="40" t="inlineStr">
        <is>
          <t>2025-09-03</t>
        </is>
      </c>
      <c r="J457" s="40" t="inlineStr">
        <is>
          <t>2025-09-04</t>
        </is>
      </c>
      <c r="K457" s="39" t="n">
        <v>1</v>
      </c>
      <c r="L457" s="38" t="inlineStr">
        <is>
          <t>Yes</t>
        </is>
      </c>
      <c r="M457" s="40" t="inlineStr"/>
      <c r="N457" s="40" t="inlineStr">
        <is>
          <t>Application</t>
        </is>
      </c>
    </row>
    <row r="458" ht="14" customHeight="1">
      <c r="A458" s="35" t="n">
        <v>458</v>
      </c>
      <c r="B458" s="36" t="inlineStr"/>
      <c r="C458" s="36" t="inlineStr"/>
      <c r="D458" s="37" t="inlineStr">
        <is>
          <t>DP-CHT-003-3960384-V1-AS-HARNESSMERGE-X86-W10</t>
        </is>
      </c>
      <c r="E458" s="36" t="inlineStr"/>
      <c r="F458" s="36" t="inlineStr">
        <is>
          <t>On-Hold</t>
        </is>
      </c>
      <c r="G458" s="36" t="inlineStr">
        <is>
          <t>On-Hold</t>
        </is>
      </c>
      <c r="H458" s="35" t="n">
        <v>8</v>
      </c>
      <c r="I458" s="36" t="inlineStr">
        <is>
          <t>2025-11-14</t>
        </is>
      </c>
      <c r="J458" s="36" t="inlineStr">
        <is>
          <t>2025-12-31</t>
        </is>
      </c>
      <c r="K458" s="35" t="n">
        <v>47</v>
      </c>
      <c r="L458" s="38" t="inlineStr">
        <is>
          <t>Yes</t>
        </is>
      </c>
      <c r="M458" s="36" t="inlineStr"/>
      <c r="N458" s="36" t="inlineStr">
        <is>
          <t>Application</t>
        </is>
      </c>
    </row>
    <row r="459" ht="14" customHeight="1">
      <c r="A459" s="39" t="n">
        <v>459</v>
      </c>
      <c r="B459" s="40" t="inlineStr">
        <is>
          <t>YEA2936</t>
        </is>
      </c>
      <c r="C459" s="40" t="inlineStr">
        <is>
          <t>DP-CRF-6654</t>
        </is>
      </c>
      <c r="D459" s="41" t="inlineStr">
        <is>
          <t>DP-CRF-6654-V1-AS-X64-COS7</t>
        </is>
      </c>
      <c r="E459" s="40" t="inlineStr">
        <is>
          <t>Yogeswaran</t>
        </is>
      </c>
      <c r="F459" s="40" t="inlineStr">
        <is>
          <t>On-Hold</t>
        </is>
      </c>
      <c r="G459" s="40" t="inlineStr">
        <is>
          <t>On-Hold</t>
        </is>
      </c>
      <c r="H459" s="39" t="n">
        <v>7</v>
      </c>
      <c r="I459" s="40" t="inlineStr">
        <is>
          <t>2025-09-05</t>
        </is>
      </c>
      <c r="J459" s="40" t="inlineStr">
        <is>
          <t>2025-12-11</t>
        </is>
      </c>
      <c r="K459" s="39" t="n">
        <v>97</v>
      </c>
      <c r="L459" s="38" t="inlineStr">
        <is>
          <t>Yes</t>
        </is>
      </c>
      <c r="M459" s="40" t="inlineStr"/>
      <c r="N459" s="40" t="inlineStr">
        <is>
          <t>Application</t>
        </is>
      </c>
    </row>
    <row r="460" ht="14" customHeight="1">
      <c r="A460" s="35" t="n">
        <v>460</v>
      </c>
      <c r="B460" s="36" t="inlineStr"/>
      <c r="C460" s="36" t="inlineStr"/>
      <c r="D460" s="37" t="inlineStr">
        <is>
          <t>DP-CRF-6654-V1-LIBS-X64-COS7</t>
        </is>
      </c>
      <c r="E460" s="36" t="inlineStr"/>
      <c r="F460" s="36" t="inlineStr">
        <is>
          <t>On-Hold</t>
        </is>
      </c>
      <c r="G460" s="36" t="inlineStr">
        <is>
          <t>On-Hold</t>
        </is>
      </c>
      <c r="H460" s="35" t="n">
        <v>1</v>
      </c>
      <c r="I460" s="36" t="inlineStr">
        <is>
          <t>2025-09-05</t>
        </is>
      </c>
      <c r="J460" s="36" t="inlineStr">
        <is>
          <t>2025-09-05</t>
        </is>
      </c>
      <c r="K460" s="35" t="n">
        <v>0</v>
      </c>
      <c r="L460" s="38" t="inlineStr">
        <is>
          <t>Yes</t>
        </is>
      </c>
      <c r="M460" s="36" t="inlineStr"/>
      <c r="N460" s="36" t="inlineStr">
        <is>
          <t>Application</t>
        </is>
      </c>
    </row>
    <row r="461" ht="14" customHeight="1">
      <c r="A461" s="39" t="n">
        <v>461</v>
      </c>
      <c r="B461" s="40" t="inlineStr">
        <is>
          <t>YIA2909</t>
        </is>
      </c>
      <c r="C461" s="40" t="inlineStr">
        <is>
          <t>DP-SPL-5374</t>
        </is>
      </c>
      <c r="D461" s="41" t="inlineStr">
        <is>
          <t>DP-SPL-5374-V1-01-AS-X64-W10-1V00</t>
        </is>
      </c>
      <c r="E461" s="40" t="inlineStr">
        <is>
          <t>Sasikumar</t>
        </is>
      </c>
      <c r="F461" s="40" t="inlineStr"/>
      <c r="G461" s="40" t="inlineStr"/>
      <c r="H461" s="39" t="n">
        <v>20</v>
      </c>
      <c r="I461" s="40" t="inlineStr">
        <is>
          <t>2025-05-15</t>
        </is>
      </c>
      <c r="J461" s="40" t="inlineStr">
        <is>
          <t>2025-07-15</t>
        </is>
      </c>
      <c r="K461" s="39" t="n">
        <v>61</v>
      </c>
      <c r="L461" s="38" t="inlineStr">
        <is>
          <t>Yes</t>
        </is>
      </c>
      <c r="M461" s="40" t="inlineStr"/>
      <c r="N461" s="40" t="inlineStr">
        <is>
          <t>Application</t>
        </is>
      </c>
    </row>
    <row r="462" ht="14" customHeight="1">
      <c r="A462" s="35" t="n">
        <v>462</v>
      </c>
      <c r="B462" s="36" t="inlineStr"/>
      <c r="C462" s="36" t="inlineStr"/>
      <c r="D462" s="37" t="inlineStr">
        <is>
          <t>DP-SPL-5374-V1-01-LIBS-X64-W10-1V00</t>
        </is>
      </c>
      <c r="E462" s="36" t="inlineStr"/>
      <c r="F462" s="36" t="inlineStr"/>
      <c r="G462" s="36" t="inlineStr"/>
      <c r="H462" s="35" t="n">
        <v>17</v>
      </c>
      <c r="I462" s="36" t="inlineStr">
        <is>
          <t>2025-05-15</t>
        </is>
      </c>
      <c r="J462" s="36" t="inlineStr">
        <is>
          <t>2025-07-15</t>
        </is>
      </c>
      <c r="K462" s="35" t="n">
        <v>61</v>
      </c>
      <c r="L462" s="38" t="inlineStr">
        <is>
          <t>Yes</t>
        </is>
      </c>
      <c r="M462" s="36" t="inlineStr"/>
      <c r="N462" s="36" t="inlineStr">
        <is>
          <t>Application</t>
        </is>
      </c>
    </row>
    <row r="463" ht="14" customHeight="1">
      <c r="A463" s="39" t="n">
        <v>463</v>
      </c>
      <c r="B463" s="40" t="inlineStr">
        <is>
          <t>YIA2909</t>
        </is>
      </c>
      <c r="C463" s="40" t="inlineStr">
        <is>
          <t>DP-SSPA-5148</t>
        </is>
      </c>
      <c r="D463" s="41" t="inlineStr">
        <is>
          <t>DP-SSPA-5148-V1-01-AS-X64-W10</t>
        </is>
      </c>
      <c r="E463" s="40" t="inlineStr">
        <is>
          <t>Sasikumar</t>
        </is>
      </c>
      <c r="F463" s="40" t="inlineStr">
        <is>
          <t>On-Hold</t>
        </is>
      </c>
      <c r="G463" s="40" t="inlineStr">
        <is>
          <t>On-Hold</t>
        </is>
      </c>
      <c r="H463" s="39" t="n">
        <v>27</v>
      </c>
      <c r="I463" s="40" t="inlineStr">
        <is>
          <t>2025-07-01</t>
        </is>
      </c>
      <c r="J463" s="40" t="inlineStr">
        <is>
          <t>2026-01-20</t>
        </is>
      </c>
      <c r="K463" s="39" t="n">
        <v>203</v>
      </c>
      <c r="L463" s="38" t="inlineStr">
        <is>
          <t>Yes</t>
        </is>
      </c>
      <c r="M463" s="40" t="inlineStr"/>
      <c r="N463" s="40" t="inlineStr">
        <is>
          <t>Application</t>
        </is>
      </c>
    </row>
    <row r="464" ht="14" customHeight="1">
      <c r="A464" s="35" t="n">
        <v>464</v>
      </c>
      <c r="B464" s="36" t="inlineStr"/>
      <c r="C464" s="36" t="inlineStr"/>
      <c r="D464" s="37" t="inlineStr">
        <is>
          <t>DP-SSPA-5148-V1-01-LIBS-X64-W10</t>
        </is>
      </c>
      <c r="E464" s="36" t="inlineStr"/>
      <c r="F464" s="36" t="inlineStr">
        <is>
          <t>On-Hold</t>
        </is>
      </c>
      <c r="G464" s="36" t="inlineStr">
        <is>
          <t>On-Hold</t>
        </is>
      </c>
      <c r="H464" s="35" t="n">
        <v>8</v>
      </c>
      <c r="I464" s="36" t="inlineStr">
        <is>
          <t>2025-07-01</t>
        </is>
      </c>
      <c r="J464" s="36" t="inlineStr">
        <is>
          <t>2025-12-26</t>
        </is>
      </c>
      <c r="K464" s="35" t="n">
        <v>178</v>
      </c>
      <c r="L464" s="38" t="inlineStr">
        <is>
          <t>Yes</t>
        </is>
      </c>
      <c r="M464" s="36" t="inlineStr"/>
      <c r="N464" s="36" t="inlineStr">
        <is>
          <t>Application</t>
        </is>
      </c>
    </row>
    <row r="465" ht="14" customHeight="1">
      <c r="A465" s="39" t="n">
        <v>465</v>
      </c>
      <c r="B465" s="40" t="inlineStr">
        <is>
          <t>YEC2826</t>
        </is>
      </c>
      <c r="C465" s="40" t="inlineStr">
        <is>
          <t>DP-SPL-7120-600</t>
        </is>
      </c>
      <c r="D465" s="41" t="inlineStr">
        <is>
          <t>DP-SPL-7120-V1-01-AS-X64-W10-1V00</t>
        </is>
      </c>
      <c r="E465" s="40" t="inlineStr"/>
      <c r="F465" s="40" t="inlineStr">
        <is>
          <t>On-Going</t>
        </is>
      </c>
      <c r="G465" s="40" t="inlineStr">
        <is>
          <t>On-Going</t>
        </is>
      </c>
      <c r="H465" s="39" t="n">
        <v>10</v>
      </c>
      <c r="I465" s="40" t="inlineStr">
        <is>
          <t>2025-10-28</t>
        </is>
      </c>
      <c r="J465" s="40" t="inlineStr">
        <is>
          <t>2026-02-09</t>
        </is>
      </c>
      <c r="K465" s="39" t="n">
        <v>104</v>
      </c>
      <c r="L465" s="38" t="inlineStr">
        <is>
          <t>Yes</t>
        </is>
      </c>
      <c r="M465" s="40" t="inlineStr"/>
      <c r="N465" s="40" t="inlineStr">
        <is>
          <t>Application</t>
        </is>
      </c>
    </row>
    <row r="466" ht="14" customHeight="1">
      <c r="A466" s="35" t="n">
        <v>466</v>
      </c>
      <c r="B466" s="36" t="inlineStr"/>
      <c r="C466" s="36" t="inlineStr"/>
      <c r="D466" s="37" t="inlineStr">
        <is>
          <t>DP-7120-5374-V1-01-LIBS-X64-W10-1V00</t>
        </is>
      </c>
      <c r="E466" s="36" t="inlineStr">
        <is>
          <t>Sasikumar</t>
        </is>
      </c>
      <c r="F466" s="36" t="inlineStr">
        <is>
          <t>On-Going</t>
        </is>
      </c>
      <c r="G466" s="36" t="inlineStr">
        <is>
          <t>On-Going</t>
        </is>
      </c>
      <c r="H466" s="35" t="n">
        <v>8</v>
      </c>
      <c r="I466" s="36" t="inlineStr">
        <is>
          <t>2025-10-28</t>
        </is>
      </c>
      <c r="J466" s="36" t="inlineStr">
        <is>
          <t>2026-02-09</t>
        </is>
      </c>
      <c r="K466" s="35" t="n">
        <v>104</v>
      </c>
      <c r="L466" s="38" t="inlineStr">
        <is>
          <t>Yes</t>
        </is>
      </c>
      <c r="M466" s="36" t="inlineStr"/>
      <c r="N466" s="36" t="inlineStr">
        <is>
          <t>Application</t>
        </is>
      </c>
    </row>
    <row r="467" ht="14" customHeight="1">
      <c r="A467" s="39" t="n">
        <v>467</v>
      </c>
      <c r="B467" s="40" t="inlineStr">
        <is>
          <t>YEC2934</t>
        </is>
      </c>
      <c r="C467" s="40" t="inlineStr">
        <is>
          <t>DP-RFSS-7121-669</t>
        </is>
      </c>
      <c r="D467" s="41" t="inlineStr">
        <is>
          <t>DP-RFSS-7121-669-V1-01-AS-X64-W10</t>
        </is>
      </c>
      <c r="E467" s="40" t="inlineStr">
        <is>
          <t>Jai ganesh</t>
        </is>
      </c>
      <c r="F467" s="40" t="inlineStr">
        <is>
          <t>Completed</t>
        </is>
      </c>
      <c r="G467" s="40" t="inlineStr">
        <is>
          <t>Completed</t>
        </is>
      </c>
      <c r="H467" s="39" t="n">
        <v>49</v>
      </c>
      <c r="I467" s="40" t="inlineStr">
        <is>
          <t>2025-01-20</t>
        </is>
      </c>
      <c r="J467" s="40" t="inlineStr">
        <is>
          <t>2025-04-21</t>
        </is>
      </c>
      <c r="K467" s="39" t="n">
        <v>91</v>
      </c>
      <c r="L467" s="38" t="inlineStr">
        <is>
          <t>Yes</t>
        </is>
      </c>
      <c r="M467" s="40" t="inlineStr"/>
      <c r="N467" s="40" t="inlineStr">
        <is>
          <t>Application</t>
        </is>
      </c>
    </row>
    <row r="468" ht="14" customHeight="1">
      <c r="A468" s="35" t="n">
        <v>468</v>
      </c>
      <c r="B468" s="36" t="inlineStr"/>
      <c r="C468" s="36" t="inlineStr"/>
      <c r="D468" s="37" t="inlineStr">
        <is>
          <t>DP-RFSS-7121-669-V1-01-LIBS-X64-W10</t>
        </is>
      </c>
      <c r="E468" s="36" t="inlineStr"/>
      <c r="F468" s="36" t="inlineStr">
        <is>
          <t>Completed</t>
        </is>
      </c>
      <c r="G468" s="36" t="inlineStr">
        <is>
          <t>Completed</t>
        </is>
      </c>
      <c r="H468" s="35" t="n">
        <v>16</v>
      </c>
      <c r="I468" s="36" t="inlineStr">
        <is>
          <t>2025-01-20</t>
        </is>
      </c>
      <c r="J468" s="36" t="inlineStr">
        <is>
          <t>2025-03-25</t>
        </is>
      </c>
      <c r="K468" s="35" t="n">
        <v>64</v>
      </c>
      <c r="L468" s="38" t="inlineStr">
        <is>
          <t>Yes</t>
        </is>
      </c>
      <c r="M468" s="36" t="inlineStr"/>
      <c r="N468" s="36" t="inlineStr">
        <is>
          <t>Application</t>
        </is>
      </c>
    </row>
    <row r="469" ht="14" customHeight="1">
      <c r="A469" s="39" t="n">
        <v>469</v>
      </c>
      <c r="B469" s="40" t="inlineStr">
        <is>
          <t>YIC2814</t>
        </is>
      </c>
      <c r="C469" s="40" t="inlineStr">
        <is>
          <t>DP-CRF-7292</t>
        </is>
      </c>
      <c r="D469" s="41" t="inlineStr">
        <is>
          <t>DP-CRF-7292-V1-01-AS-X64-W10</t>
        </is>
      </c>
      <c r="E469" s="40" t="inlineStr">
        <is>
          <t>Naveenkumar</t>
        </is>
      </c>
      <c r="F469" s="40" t="inlineStr">
        <is>
          <t>On-Going</t>
        </is>
      </c>
      <c r="G469" s="40" t="inlineStr">
        <is>
          <t>On-Going</t>
        </is>
      </c>
      <c r="H469" s="39" t="n">
        <v>25</v>
      </c>
      <c r="I469" s="40" t="inlineStr">
        <is>
          <t>2025-06-02</t>
        </is>
      </c>
      <c r="J469" s="40" t="inlineStr">
        <is>
          <t>2026-02-03</t>
        </is>
      </c>
      <c r="K469" s="39" t="n">
        <v>246</v>
      </c>
      <c r="L469" s="38" t="inlineStr">
        <is>
          <t>Yes</t>
        </is>
      </c>
      <c r="M469" s="40" t="inlineStr"/>
      <c r="N469" s="40" t="inlineStr">
        <is>
          <t>Application</t>
        </is>
      </c>
    </row>
    <row r="470" ht="14" customHeight="1">
      <c r="A470" s="35" t="n">
        <v>470</v>
      </c>
      <c r="B470" s="36" t="inlineStr">
        <is>
          <t>YIC2814</t>
        </is>
      </c>
      <c r="C470" s="36" t="inlineStr">
        <is>
          <t>DP-RFSS-7724</t>
        </is>
      </c>
      <c r="D470" s="37" t="inlineStr">
        <is>
          <t>DP-RFSS-7724-V1-01-AS-X64-W10</t>
        </is>
      </c>
      <c r="E470" s="36" t="inlineStr">
        <is>
          <t>Naveenkumar</t>
        </is>
      </c>
      <c r="F470" s="36" t="inlineStr">
        <is>
          <t>On-Going</t>
        </is>
      </c>
      <c r="G470" s="36" t="inlineStr">
        <is>
          <t>On-Going</t>
        </is>
      </c>
      <c r="H470" s="35" t="n">
        <v>1</v>
      </c>
      <c r="I470" s="36" t="inlineStr">
        <is>
          <t>2025-09-05</t>
        </is>
      </c>
      <c r="J470" s="36" t="inlineStr">
        <is>
          <t>2025-09-05</t>
        </is>
      </c>
      <c r="K470" s="35" t="n">
        <v>0</v>
      </c>
      <c r="L470" s="38" t="inlineStr">
        <is>
          <t>Yes</t>
        </is>
      </c>
      <c r="M470" s="36" t="inlineStr"/>
      <c r="N470" s="36" t="inlineStr">
        <is>
          <t>Application</t>
        </is>
      </c>
    </row>
    <row r="471" ht="14" customHeight="1">
      <c r="A471" s="39" t="n">
        <v>471</v>
      </c>
      <c r="B471" s="40" t="inlineStr"/>
      <c r="C471" s="40" t="inlineStr"/>
      <c r="D471" s="41" t="inlineStr">
        <is>
          <t>DP-RFSS-7724-V1-01-LIBS-X64-W10</t>
        </is>
      </c>
      <c r="E471" s="40" t="inlineStr"/>
      <c r="F471" s="40" t="inlineStr">
        <is>
          <t>On-Going</t>
        </is>
      </c>
      <c r="G471" s="40" t="inlineStr">
        <is>
          <t>On-Going</t>
        </is>
      </c>
      <c r="H471" s="39" t="n">
        <v>2</v>
      </c>
      <c r="I471" s="40" t="inlineStr">
        <is>
          <t>2026-01-20</t>
        </is>
      </c>
      <c r="J471" s="40" t="inlineStr">
        <is>
          <t>2026-01-21</t>
        </is>
      </c>
      <c r="K471" s="39" t="n">
        <v>1</v>
      </c>
      <c r="L471" s="38" t="inlineStr">
        <is>
          <t>Yes</t>
        </is>
      </c>
      <c r="M471" s="40" t="inlineStr"/>
      <c r="N471" s="40" t="inlineStr">
        <is>
          <t>Application</t>
        </is>
      </c>
    </row>
    <row r="472" ht="14" customHeight="1">
      <c r="A472" s="35" t="n">
        <v>472</v>
      </c>
      <c r="B472" s="36" t="inlineStr">
        <is>
          <t>YIC2814</t>
        </is>
      </c>
      <c r="C472" s="36" t="inlineStr">
        <is>
          <t>DP-RFSS-7721</t>
        </is>
      </c>
      <c r="D472" s="37" t="inlineStr">
        <is>
          <t>DP-RFSS-7721-V1-01-AS-X64-W10</t>
        </is>
      </c>
      <c r="E472" s="36" t="inlineStr">
        <is>
          <t>Naveenkumar</t>
        </is>
      </c>
      <c r="F472" s="36" t="inlineStr">
        <is>
          <t>On-Hold</t>
        </is>
      </c>
      <c r="G472" s="36" t="inlineStr">
        <is>
          <t>On-Hold</t>
        </is>
      </c>
      <c r="H472" s="35" t="n">
        <v>11</v>
      </c>
      <c r="I472" s="36" t="inlineStr">
        <is>
          <t>2025-05-09</t>
        </is>
      </c>
      <c r="J472" s="36" t="inlineStr">
        <is>
          <t>2026-01-20</t>
        </is>
      </c>
      <c r="K472" s="35" t="n">
        <v>256</v>
      </c>
      <c r="L472" s="38" t="inlineStr">
        <is>
          <t>Yes</t>
        </is>
      </c>
      <c r="M472" s="36" t="inlineStr"/>
      <c r="N472" s="36" t="inlineStr">
        <is>
          <t>Application</t>
        </is>
      </c>
    </row>
    <row r="473" ht="14" customHeight="1">
      <c r="A473" s="39" t="n">
        <v>473</v>
      </c>
      <c r="B473" s="40" t="inlineStr">
        <is>
          <t>YEB2989</t>
        </is>
      </c>
      <c r="C473" s="40" t="inlineStr">
        <is>
          <t>DP-CRF-0512</t>
        </is>
      </c>
      <c r="D473" s="41" t="inlineStr">
        <is>
          <t>DP-CRF-0512-V1-01-AS-X64-W10</t>
        </is>
      </c>
      <c r="E473" s="40" t="inlineStr">
        <is>
          <t>Naveenkumar</t>
        </is>
      </c>
      <c r="F473" s="40" t="inlineStr"/>
      <c r="G473" s="40" t="inlineStr"/>
      <c r="H473" s="39" t="n">
        <v>6</v>
      </c>
      <c r="I473" s="40" t="inlineStr">
        <is>
          <t>2025-11-21</t>
        </is>
      </c>
      <c r="J473" s="40" t="inlineStr">
        <is>
          <t>2025-12-24</t>
        </is>
      </c>
      <c r="K473" s="39" t="n">
        <v>33</v>
      </c>
      <c r="L473" s="38" t="inlineStr">
        <is>
          <t>Yes</t>
        </is>
      </c>
      <c r="M473" s="40" t="inlineStr"/>
      <c r="N473" s="40" t="inlineStr">
        <is>
          <t>Application</t>
        </is>
      </c>
    </row>
    <row r="474" ht="14" customHeight="1">
      <c r="A474" s="35" t="n">
        <v>474</v>
      </c>
      <c r="B474" s="36" t="inlineStr"/>
      <c r="C474" s="36" t="inlineStr"/>
      <c r="D474" s="37" t="inlineStr">
        <is>
          <t>DP-CRF-0512-V1-01-LIBS-X64-W10</t>
        </is>
      </c>
      <c r="E474" s="36" t="inlineStr"/>
      <c r="F474" s="36" t="inlineStr"/>
      <c r="G474" s="36" t="inlineStr"/>
      <c r="H474" s="35" t="n">
        <v>3</v>
      </c>
      <c r="I474" s="36" t="inlineStr">
        <is>
          <t>2025-11-21</t>
        </is>
      </c>
      <c r="J474" s="36" t="inlineStr">
        <is>
          <t>2025-12-10</t>
        </is>
      </c>
      <c r="K474" s="35" t="n">
        <v>19</v>
      </c>
      <c r="L474" s="38" t="inlineStr">
        <is>
          <t>Yes</t>
        </is>
      </c>
      <c r="M474" s="36" t="inlineStr"/>
      <c r="N474" s="36" t="inlineStr">
        <is>
          <t>Application</t>
        </is>
      </c>
    </row>
    <row r="475" ht="14" customHeight="1">
      <c r="A475" s="39" t="n">
        <v>475</v>
      </c>
      <c r="B475" s="40" t="inlineStr">
        <is>
          <t>sia2928_manet</t>
        </is>
      </c>
      <c r="C475" s="40" t="inlineStr"/>
      <c r="D475" s="41" t="inlineStr">
        <is>
          <t>Test</t>
        </is>
      </c>
      <c r="E475" s="40" t="inlineStr"/>
      <c r="F475" s="40" t="inlineStr">
        <is>
          <t>Current</t>
        </is>
      </c>
      <c r="G475" s="40" t="inlineStr">
        <is>
          <t>Current</t>
        </is>
      </c>
      <c r="H475" s="39" t="n">
        <v>14</v>
      </c>
      <c r="I475" s="40" t="inlineStr">
        <is>
          <t>2025-06-18</t>
        </is>
      </c>
      <c r="J475" s="40" t="inlineStr">
        <is>
          <t>2025-11-07</t>
        </is>
      </c>
      <c r="K475" s="39" t="n">
        <v>142</v>
      </c>
      <c r="L475" s="38" t="inlineStr">
        <is>
          <t>Yes</t>
        </is>
      </c>
      <c r="M475" s="40" t="inlineStr"/>
      <c r="N475" s="40" t="inlineStr">
        <is>
          <t>BSP</t>
        </is>
      </c>
    </row>
    <row r="476" ht="14" customHeight="1">
      <c r="A476" s="35" t="n">
        <v>476</v>
      </c>
      <c r="B476" s="36" t="inlineStr">
        <is>
          <t>sia2928_sdr_sca</t>
        </is>
      </c>
      <c r="C476" s="36" t="inlineStr"/>
      <c r="D476" s="37" t="inlineStr">
        <is>
          <t>SCA-QPSK-100KBPS</t>
        </is>
      </c>
      <c r="E476" s="36" t="inlineStr"/>
      <c r="F476" s="36" t="inlineStr">
        <is>
          <t>Current</t>
        </is>
      </c>
      <c r="G476" s="36" t="inlineStr">
        <is>
          <t>Current</t>
        </is>
      </c>
      <c r="H476" s="35" t="n">
        <v>26</v>
      </c>
      <c r="I476" s="36" t="inlineStr">
        <is>
          <t>2025-09-05</t>
        </is>
      </c>
      <c r="J476" s="36" t="inlineStr">
        <is>
          <t>2026-01-13</t>
        </is>
      </c>
      <c r="K476" s="35" t="n">
        <v>130</v>
      </c>
      <c r="L476" s="38" t="inlineStr">
        <is>
          <t>Yes</t>
        </is>
      </c>
      <c r="M476" s="36" t="inlineStr"/>
      <c r="N476" s="36" t="inlineStr">
        <is>
          <t>BSP</t>
        </is>
      </c>
    </row>
    <row r="477" ht="14" customHeight="1">
      <c r="A477" s="39" t="n">
        <v>477</v>
      </c>
      <c r="B477" s="40" t="inlineStr">
        <is>
          <t>yeb2986_mmdc</t>
        </is>
      </c>
      <c r="C477" s="40" t="inlineStr">
        <is>
          <t>DP-OBC-8205</t>
        </is>
      </c>
      <c r="D477" s="41" t="inlineStr">
        <is>
          <t>DP-OBC-8205-V1-01-AS-HOST-X86_64-W10</t>
        </is>
      </c>
      <c r="E477" s="40" t="inlineStr"/>
      <c r="F477" s="40" t="inlineStr">
        <is>
          <t>Current</t>
        </is>
      </c>
      <c r="G477" s="40" t="inlineStr">
        <is>
          <t>Current</t>
        </is>
      </c>
      <c r="H477" s="39" t="n">
        <v>17</v>
      </c>
      <c r="I477" s="40" t="inlineStr">
        <is>
          <t>2025-06-20</t>
        </is>
      </c>
      <c r="J477" s="40" t="inlineStr">
        <is>
          <t>2025-12-15</t>
        </is>
      </c>
      <c r="K477" s="39" t="n">
        <v>178</v>
      </c>
      <c r="L477" s="38" t="inlineStr">
        <is>
          <t>Yes</t>
        </is>
      </c>
      <c r="M477" s="40" t="inlineStr"/>
      <c r="N477" s="40" t="inlineStr">
        <is>
          <t>BSP</t>
        </is>
      </c>
    </row>
    <row r="478" ht="14" customHeight="1">
      <c r="A478" s="35" t="n">
        <v>478</v>
      </c>
      <c r="B478" s="36" t="inlineStr">
        <is>
          <t>yeb2986_mmdc</t>
        </is>
      </c>
      <c r="C478" s="36" t="inlineStr">
        <is>
          <t>DP-OBC-8205</t>
        </is>
      </c>
      <c r="D478" s="37" t="inlineStr">
        <is>
          <t>DP-OBC-8205-V1-01-AS-TARGET-X86_64-VxW7</t>
        </is>
      </c>
      <c r="E478" s="36" t="inlineStr"/>
      <c r="F478" s="36" t="inlineStr">
        <is>
          <t>Current</t>
        </is>
      </c>
      <c r="G478" s="36" t="inlineStr">
        <is>
          <t>Current</t>
        </is>
      </c>
      <c r="H478" s="35" t="n">
        <v>22</v>
      </c>
      <c r="I478" s="36" t="inlineStr">
        <is>
          <t>2025-08-13</t>
        </is>
      </c>
      <c r="J478" s="36" t="inlineStr">
        <is>
          <t>2026-01-24</t>
        </is>
      </c>
      <c r="K478" s="35" t="n">
        <v>164</v>
      </c>
      <c r="L478" s="38" t="inlineStr">
        <is>
          <t>Yes</t>
        </is>
      </c>
      <c r="M478" s="36" t="inlineStr"/>
      <c r="N478" s="36" t="inlineStr">
        <is>
          <t>BSP</t>
        </is>
      </c>
    </row>
    <row r="479" ht="14" customHeight="1">
      <c r="A479" s="39" t="n">
        <v>479</v>
      </c>
      <c r="B479" s="40" t="inlineStr">
        <is>
          <t>yeb2995_fcs-ngmmcb</t>
        </is>
      </c>
      <c r="C479" s="40" t="inlineStr">
        <is>
          <t>DP-VME-0669</t>
        </is>
      </c>
      <c r="D479" s="41" t="inlineStr">
        <is>
          <t>DP-VME-0669-BRD-ATP-SRC</t>
        </is>
      </c>
      <c r="E479" s="40" t="inlineStr"/>
      <c r="F479" s="40" t="inlineStr">
        <is>
          <t>Current</t>
        </is>
      </c>
      <c r="G479" s="40" t="inlineStr">
        <is>
          <t>Current</t>
        </is>
      </c>
      <c r="H479" s="39" t="n">
        <v>3</v>
      </c>
      <c r="I479" s="40" t="inlineStr">
        <is>
          <t>2025-12-23</t>
        </is>
      </c>
      <c r="J479" s="40" t="inlineStr">
        <is>
          <t>2025-12-24</t>
        </is>
      </c>
      <c r="K479" s="39" t="n">
        <v>1</v>
      </c>
      <c r="L479" s="38" t="inlineStr">
        <is>
          <t>Yes</t>
        </is>
      </c>
      <c r="M479" s="40" t="inlineStr"/>
      <c r="N479" s="40" t="inlineStr">
        <is>
          <t>BSP</t>
        </is>
      </c>
    </row>
    <row r="480" ht="14" customHeight="1">
      <c r="A480" s="35" t="n">
        <v>480</v>
      </c>
      <c r="B480" s="36" t="inlineStr">
        <is>
          <t>yeb2995_fcs-ngmmcb</t>
        </is>
      </c>
      <c r="C480" s="36" t="inlineStr">
        <is>
          <t>DP-VME-0669</t>
        </is>
      </c>
      <c r="D480" s="37" t="inlineStr">
        <is>
          <t>DP-VME-0669-BRD-DRV-SRC</t>
        </is>
      </c>
      <c r="E480" s="36" t="inlineStr"/>
      <c r="F480" s="36" t="inlineStr">
        <is>
          <t>Current</t>
        </is>
      </c>
      <c r="G480" s="36" t="inlineStr">
        <is>
          <t>Current</t>
        </is>
      </c>
      <c r="H480" s="35" t="n">
        <v>1</v>
      </c>
      <c r="I480" s="36" t="inlineStr">
        <is>
          <t>2025-12-23</t>
        </is>
      </c>
      <c r="J480" s="36" t="inlineStr">
        <is>
          <t>2025-12-23</t>
        </is>
      </c>
      <c r="K480" s="35" t="n">
        <v>0</v>
      </c>
      <c r="L480" s="38" t="inlineStr">
        <is>
          <t>Yes</t>
        </is>
      </c>
      <c r="M480" s="36" t="inlineStr"/>
      <c r="N480" s="36" t="inlineStr">
        <is>
          <t>BSP</t>
        </is>
      </c>
    </row>
    <row r="481" ht="14" customHeight="1">
      <c r="A481" s="39" t="n">
        <v>481</v>
      </c>
      <c r="B481" s="40" t="inlineStr">
        <is>
          <t>yeb2995_fcs-ngmmcb</t>
        </is>
      </c>
      <c r="C481" s="40" t="inlineStr">
        <is>
          <t>DP-VME-0669</t>
        </is>
      </c>
      <c r="D481" s="41" t="inlineStr">
        <is>
          <t>DP-VME-0669-BRD-LIB-SRC</t>
        </is>
      </c>
      <c r="E481" s="40" t="inlineStr"/>
      <c r="F481" s="40" t="inlineStr">
        <is>
          <t>Current</t>
        </is>
      </c>
      <c r="G481" s="40" t="inlineStr">
        <is>
          <t>Current</t>
        </is>
      </c>
      <c r="H481" s="39" t="n">
        <v>1</v>
      </c>
      <c r="I481" s="40" t="inlineStr">
        <is>
          <t>2025-12-23</t>
        </is>
      </c>
      <c r="J481" s="40" t="inlineStr">
        <is>
          <t>2025-12-23</t>
        </is>
      </c>
      <c r="K481" s="39" t="n">
        <v>0</v>
      </c>
      <c r="L481" s="38" t="inlineStr">
        <is>
          <t>Yes</t>
        </is>
      </c>
      <c r="M481" s="40" t="inlineStr"/>
      <c r="N481" s="40" t="inlineStr">
        <is>
          <t>BSP</t>
        </is>
      </c>
    </row>
    <row r="482" ht="14" customHeight="1">
      <c r="A482" s="35" t="n">
        <v>482</v>
      </c>
      <c r="B482" s="36" t="inlineStr">
        <is>
          <t>yeb2995_fcs-ngmmcb</t>
        </is>
      </c>
      <c r="C482" s="36" t="inlineStr"/>
      <c r="D482" s="37" t="inlineStr">
        <is>
          <t>CENTOS10-OFFICIAL-ISO</t>
        </is>
      </c>
      <c r="E482" s="36" t="inlineStr"/>
      <c r="F482" s="36" t="inlineStr">
        <is>
          <t>Current</t>
        </is>
      </c>
      <c r="G482" s="36" t="inlineStr">
        <is>
          <t>Current</t>
        </is>
      </c>
      <c r="H482" s="35" t="n">
        <v>1</v>
      </c>
      <c r="I482" s="36" t="inlineStr">
        <is>
          <t>2025-12-23</t>
        </is>
      </c>
      <c r="J482" s="36" t="inlineStr">
        <is>
          <t>2025-12-23</t>
        </is>
      </c>
      <c r="K482" s="35" t="n">
        <v>0</v>
      </c>
      <c r="L482" s="38" t="inlineStr">
        <is>
          <t>Yes</t>
        </is>
      </c>
      <c r="M482" s="36" t="inlineStr"/>
      <c r="N482" s="36" t="inlineStr">
        <is>
          <t>BSP</t>
        </is>
      </c>
    </row>
    <row r="483" ht="14" customHeight="1">
      <c r="A483" s="39" t="n">
        <v>483</v>
      </c>
      <c r="B483" s="40" t="inlineStr">
        <is>
          <t>yeb2995_fcs-ngmmcb</t>
        </is>
      </c>
      <c r="C483" s="40" t="inlineStr">
        <is>
          <t>DP-VME-0669</t>
        </is>
      </c>
      <c r="D483" s="41" t="inlineStr">
        <is>
          <t>DP-VME-0669-BRD-CUSTOM-ISO</t>
        </is>
      </c>
      <c r="E483" s="40" t="inlineStr"/>
      <c r="F483" s="40" t="inlineStr">
        <is>
          <t>Current</t>
        </is>
      </c>
      <c r="G483" s="40" t="inlineStr">
        <is>
          <t>Current</t>
        </is>
      </c>
      <c r="H483" s="39" t="n">
        <v>1</v>
      </c>
      <c r="I483" s="40" t="inlineStr">
        <is>
          <t>2025-12-23</t>
        </is>
      </c>
      <c r="J483" s="40" t="inlineStr">
        <is>
          <t>2025-12-23</t>
        </is>
      </c>
      <c r="K483" s="39" t="n">
        <v>0</v>
      </c>
      <c r="L483" s="38" t="inlineStr">
        <is>
          <t>Yes</t>
        </is>
      </c>
      <c r="M483" s="40" t="inlineStr"/>
      <c r="N483" s="40" t="inlineStr">
        <is>
          <t>BSP</t>
        </is>
      </c>
    </row>
    <row r="484" ht="14" customHeight="1">
      <c r="A484" s="35" t="n">
        <v>484</v>
      </c>
      <c r="B484" s="36" t="inlineStr">
        <is>
          <t>yeb2995_fcs-ngmmcb</t>
        </is>
      </c>
      <c r="C484" s="36" t="inlineStr">
        <is>
          <t>DP-VME-0669</t>
        </is>
      </c>
      <c r="D484" s="37" t="inlineStr">
        <is>
          <t>DP-VME-0669-BRD-KERNEL-CONFIG-FILE</t>
        </is>
      </c>
      <c r="E484" s="36" t="inlineStr"/>
      <c r="F484" s="36" t="inlineStr">
        <is>
          <t>Current</t>
        </is>
      </c>
      <c r="G484" s="36" t="inlineStr">
        <is>
          <t>Current</t>
        </is>
      </c>
      <c r="H484" s="35" t="n">
        <v>1</v>
      </c>
      <c r="I484" s="36" t="inlineStr">
        <is>
          <t>2025-12-23</t>
        </is>
      </c>
      <c r="J484" s="36" t="inlineStr">
        <is>
          <t>2025-12-23</t>
        </is>
      </c>
      <c r="K484" s="35" t="n">
        <v>0</v>
      </c>
      <c r="L484" s="38" t="inlineStr">
        <is>
          <t>Yes</t>
        </is>
      </c>
      <c r="M484" s="36" t="inlineStr"/>
      <c r="N484" s="36" t="inlineStr">
        <is>
          <t>BSP</t>
        </is>
      </c>
    </row>
    <row r="485" ht="14" customHeight="1">
      <c r="A485" s="39" t="n">
        <v>485</v>
      </c>
      <c r="B485" s="40" t="inlineStr">
        <is>
          <t>yeb2995_fcs-ngmmcb</t>
        </is>
      </c>
      <c r="C485" s="40" t="inlineStr">
        <is>
          <t>DP-VME-0669</t>
        </is>
      </c>
      <c r="D485" s="41" t="inlineStr">
        <is>
          <t>DP-VME-0669-BRD-KERNEL-SRC</t>
        </is>
      </c>
      <c r="E485" s="40" t="inlineStr"/>
      <c r="F485" s="40" t="inlineStr">
        <is>
          <t>Current</t>
        </is>
      </c>
      <c r="G485" s="40" t="inlineStr">
        <is>
          <t>Current</t>
        </is>
      </c>
      <c r="H485" s="39" t="n">
        <v>1</v>
      </c>
      <c r="I485" s="40" t="inlineStr">
        <is>
          <t>2025-12-23</t>
        </is>
      </c>
      <c r="J485" s="40" t="inlineStr">
        <is>
          <t>2025-12-23</t>
        </is>
      </c>
      <c r="K485" s="39" t="n">
        <v>0</v>
      </c>
      <c r="L485" s="38" t="inlineStr">
        <is>
          <t>Yes</t>
        </is>
      </c>
      <c r="M485" s="40" t="inlineStr"/>
      <c r="N485" s="40" t="inlineStr">
        <is>
          <t>BSP</t>
        </is>
      </c>
    </row>
    <row r="486" ht="14" customHeight="1">
      <c r="A486" s="35" t="n">
        <v>486</v>
      </c>
      <c r="B486" s="36" t="inlineStr">
        <is>
          <t>yeb2995_fcs-ngmmcb</t>
        </is>
      </c>
      <c r="C486" s="36" t="inlineStr">
        <is>
          <t>DP-VME-0669</t>
        </is>
      </c>
      <c r="D486" s="37" t="inlineStr">
        <is>
          <t>DP-VME-0669-BRD-XENO-LIB-SRC</t>
        </is>
      </c>
      <c r="E486" s="36" t="inlineStr"/>
      <c r="F486" s="36" t="inlineStr">
        <is>
          <t>Current</t>
        </is>
      </c>
      <c r="G486" s="36" t="inlineStr">
        <is>
          <t>Current</t>
        </is>
      </c>
      <c r="H486" s="35" t="n">
        <v>1</v>
      </c>
      <c r="I486" s="36" t="inlineStr">
        <is>
          <t>2025-12-23</t>
        </is>
      </c>
      <c r="J486" s="36" t="inlineStr">
        <is>
          <t>2025-12-23</t>
        </is>
      </c>
      <c r="K486" s="35" t="n">
        <v>0</v>
      </c>
      <c r="L486" s="38" t="inlineStr">
        <is>
          <t>Yes</t>
        </is>
      </c>
      <c r="M486" s="36" t="inlineStr"/>
      <c r="N486" s="36" t="inlineStr">
        <is>
          <t>BSP</t>
        </is>
      </c>
    </row>
    <row r="487" ht="14" customHeight="1">
      <c r="A487" s="39" t="n">
        <v>487</v>
      </c>
      <c r="B487" s="40" t="inlineStr">
        <is>
          <t>yeb2995_fcs-ngmmcb</t>
        </is>
      </c>
      <c r="C487" s="40" t="inlineStr">
        <is>
          <t>DP-VME-0669</t>
        </is>
      </c>
      <c r="D487" s="41" t="inlineStr">
        <is>
          <t>DP-VME-0669-BRD-XENO-PATCH-FILE</t>
        </is>
      </c>
      <c r="E487" s="40" t="inlineStr"/>
      <c r="F487" s="40" t="inlineStr">
        <is>
          <t>Current</t>
        </is>
      </c>
      <c r="G487" s="40" t="inlineStr">
        <is>
          <t>Current</t>
        </is>
      </c>
      <c r="H487" s="39" t="n">
        <v>1</v>
      </c>
      <c r="I487" s="40" t="inlineStr">
        <is>
          <t>2025-12-23</t>
        </is>
      </c>
      <c r="J487" s="40" t="inlineStr">
        <is>
          <t>2025-12-23</t>
        </is>
      </c>
      <c r="K487" s="39" t="n">
        <v>0</v>
      </c>
      <c r="L487" s="38" t="inlineStr">
        <is>
          <t>Yes</t>
        </is>
      </c>
      <c r="M487" s="40" t="inlineStr"/>
      <c r="N487" s="40" t="inlineStr">
        <is>
          <t>BSP</t>
        </is>
      </c>
    </row>
    <row r="488" ht="14" customHeight="1">
      <c r="A488" s="35" t="n">
        <v>488</v>
      </c>
      <c r="B488" s="36" t="inlineStr">
        <is>
          <t>yec2708_newgenairsdr</t>
        </is>
      </c>
      <c r="C488" s="36" t="inlineStr">
        <is>
          <t>DP-COMM-8031</t>
        </is>
      </c>
      <c r="D488" s="37" t="inlineStr">
        <is>
          <t>DP-COMM-8031-V1-AS-ALGO-ARM-LIN64</t>
        </is>
      </c>
      <c r="E488" s="36" t="inlineStr"/>
      <c r="F488" s="36" t="inlineStr">
        <is>
          <t>On hold</t>
        </is>
      </c>
      <c r="G488" s="36" t="inlineStr">
        <is>
          <t>On hold</t>
        </is>
      </c>
      <c r="H488" s="35" t="n">
        <v>14</v>
      </c>
      <c r="I488" s="36" t="inlineStr">
        <is>
          <t>2025-09-23</t>
        </is>
      </c>
      <c r="J488" s="36" t="inlineStr">
        <is>
          <t>2026-01-27</t>
        </is>
      </c>
      <c r="K488" s="35" t="n">
        <v>126</v>
      </c>
      <c r="L488" s="38" t="inlineStr">
        <is>
          <t>Yes</t>
        </is>
      </c>
      <c r="M488" s="36" t="inlineStr"/>
      <c r="N488" s="36" t="inlineStr">
        <is>
          <t>BSP</t>
        </is>
      </c>
    </row>
    <row r="489" ht="14" customHeight="1">
      <c r="A489" s="39" t="n">
        <v>489</v>
      </c>
      <c r="B489" s="40" t="inlineStr">
        <is>
          <t>yec2708_newgenairsdr</t>
        </is>
      </c>
      <c r="C489" s="40" t="inlineStr">
        <is>
          <t>DP-COMM-8031</t>
        </is>
      </c>
      <c r="D489" s="41" t="inlineStr">
        <is>
          <t>DP-COMM-8031-V1-AS-AUDIO-ARM-LIN64</t>
        </is>
      </c>
      <c r="E489" s="40" t="inlineStr"/>
      <c r="F489" s="40" t="inlineStr">
        <is>
          <t>On hold</t>
        </is>
      </c>
      <c r="G489" s="40" t="inlineStr">
        <is>
          <t>On hold</t>
        </is>
      </c>
      <c r="H489" s="39" t="n">
        <v>19</v>
      </c>
      <c r="I489" s="40" t="inlineStr">
        <is>
          <t>2025-09-18</t>
        </is>
      </c>
      <c r="J489" s="40" t="inlineStr">
        <is>
          <t>2026-01-27</t>
        </is>
      </c>
      <c r="K489" s="39" t="n">
        <v>131</v>
      </c>
      <c r="L489" s="38" t="inlineStr">
        <is>
          <t>Yes</t>
        </is>
      </c>
      <c r="M489" s="40" t="inlineStr"/>
      <c r="N489" s="40" t="inlineStr">
        <is>
          <t>BSP</t>
        </is>
      </c>
    </row>
    <row r="490" ht="14" customHeight="1">
      <c r="A490" s="35" t="n">
        <v>490</v>
      </c>
      <c r="B490" s="36" t="inlineStr">
        <is>
          <t>yec2708_newgenairsdr</t>
        </is>
      </c>
      <c r="C490" s="36" t="inlineStr">
        <is>
          <t>DP-COMM-8031</t>
        </is>
      </c>
      <c r="D490" s="37" t="inlineStr">
        <is>
          <t>DP-COMM-8031-V1-AS-HOST-x86-W10</t>
        </is>
      </c>
      <c r="E490" s="36" t="inlineStr"/>
      <c r="F490" s="36" t="inlineStr">
        <is>
          <t>On hold</t>
        </is>
      </c>
      <c r="G490" s="36" t="inlineStr">
        <is>
          <t>On hold</t>
        </is>
      </c>
      <c r="H490" s="35" t="n">
        <v>78</v>
      </c>
      <c r="I490" s="36" t="inlineStr">
        <is>
          <t>2025-08-11</t>
        </is>
      </c>
      <c r="J490" s="36" t="inlineStr">
        <is>
          <t>2026-02-12</t>
        </is>
      </c>
      <c r="K490" s="35" t="n">
        <v>185</v>
      </c>
      <c r="L490" s="38" t="inlineStr">
        <is>
          <t>Yes</t>
        </is>
      </c>
      <c r="M490" s="36" t="inlineStr"/>
      <c r="N490" s="36" t="inlineStr">
        <is>
          <t>BSP</t>
        </is>
      </c>
    </row>
    <row r="491" ht="14" customHeight="1">
      <c r="A491" s="39" t="n">
        <v>491</v>
      </c>
      <c r="B491" s="40" t="inlineStr">
        <is>
          <t>yec2708_newgenairsdr</t>
        </is>
      </c>
      <c r="C491" s="40" t="inlineStr">
        <is>
          <t>DP-COMM-8031</t>
        </is>
      </c>
      <c r="D491" s="41" t="inlineStr">
        <is>
          <t>DP-COMM-8031-V1-AS-SIGNAL-ARM-LIN64</t>
        </is>
      </c>
      <c r="E491" s="40" t="inlineStr"/>
      <c r="F491" s="40" t="inlineStr">
        <is>
          <t>On hold</t>
        </is>
      </c>
      <c r="G491" s="40" t="inlineStr">
        <is>
          <t>On hold</t>
        </is>
      </c>
      <c r="H491" s="39" t="n">
        <v>17</v>
      </c>
      <c r="I491" s="40" t="inlineStr">
        <is>
          <t>2025-09-23</t>
        </is>
      </c>
      <c r="J491" s="40" t="inlineStr">
        <is>
          <t>2026-01-27</t>
        </is>
      </c>
      <c r="K491" s="39" t="n">
        <v>126</v>
      </c>
      <c r="L491" s="38" t="inlineStr">
        <is>
          <t>Yes</t>
        </is>
      </c>
      <c r="M491" s="40" t="inlineStr"/>
      <c r="N491" s="40" t="inlineStr">
        <is>
          <t>BSP</t>
        </is>
      </c>
    </row>
    <row r="492" ht="14" customHeight="1">
      <c r="A492" s="35" t="n">
        <v>492</v>
      </c>
      <c r="B492" s="36" t="inlineStr">
        <is>
          <t>yec2877-ucr</t>
        </is>
      </c>
      <c r="C492" s="36" t="inlineStr">
        <is>
          <t>DP-COMM-8079</t>
        </is>
      </c>
      <c r="D492" s="37" t="inlineStr">
        <is>
          <t>DP-COMM-8079-V1-AS-AUDIO-ARM-LIN64</t>
        </is>
      </c>
      <c r="E492" s="36" t="inlineStr"/>
      <c r="F492" s="36" t="inlineStr">
        <is>
          <t>Stopped</t>
        </is>
      </c>
      <c r="G492" s="36" t="inlineStr">
        <is>
          <t>Stopped</t>
        </is>
      </c>
      <c r="H492" s="35" t="n">
        <v>4</v>
      </c>
      <c r="I492" s="36" t="inlineStr">
        <is>
          <t>2025-07-03</t>
        </is>
      </c>
      <c r="J492" s="36" t="inlineStr">
        <is>
          <t>2025-10-24</t>
        </is>
      </c>
      <c r="K492" s="35" t="n">
        <v>113</v>
      </c>
      <c r="L492" s="38" t="inlineStr">
        <is>
          <t>Yes</t>
        </is>
      </c>
      <c r="M492" s="36" t="inlineStr"/>
      <c r="N492" s="36" t="inlineStr">
        <is>
          <t>BSP</t>
        </is>
      </c>
    </row>
    <row r="493" ht="14" customHeight="1">
      <c r="A493" s="39" t="n">
        <v>493</v>
      </c>
      <c r="B493" s="40" t="inlineStr">
        <is>
          <t>yec2877-ucr</t>
        </is>
      </c>
      <c r="C493" s="40" t="inlineStr">
        <is>
          <t>DP-COMM-8079</t>
        </is>
      </c>
      <c r="D493" s="41" t="inlineStr">
        <is>
          <t>DP-COMM-8079-V1-AS-X86-WIN</t>
        </is>
      </c>
      <c r="E493" s="40" t="inlineStr"/>
      <c r="F493" s="40" t="inlineStr">
        <is>
          <t>Stopped</t>
        </is>
      </c>
      <c r="G493" s="40" t="inlineStr">
        <is>
          <t>Stopped</t>
        </is>
      </c>
      <c r="H493" s="39" t="n">
        <v>14</v>
      </c>
      <c r="I493" s="40" t="inlineStr">
        <is>
          <t>2025-07-03</t>
        </is>
      </c>
      <c r="J493" s="40" t="inlineStr">
        <is>
          <t>2025-08-12</t>
        </is>
      </c>
      <c r="K493" s="39" t="n">
        <v>40</v>
      </c>
      <c r="L493" s="38" t="inlineStr">
        <is>
          <t>Yes</t>
        </is>
      </c>
      <c r="M493" s="40" t="inlineStr"/>
      <c r="N493" s="40" t="inlineStr">
        <is>
          <t>BSP</t>
        </is>
      </c>
    </row>
    <row r="494" ht="14" customHeight="1">
      <c r="A494" s="35" t="n">
        <v>494</v>
      </c>
      <c r="B494" s="36" t="inlineStr">
        <is>
          <t>yec2877-ucr</t>
        </is>
      </c>
      <c r="C494" s="36" t="inlineStr">
        <is>
          <t>DP-COMM-8079</t>
        </is>
      </c>
      <c r="D494" s="37" t="inlineStr">
        <is>
          <t>DP-COMM-8079-V1-FWS-SECURITY</t>
        </is>
      </c>
      <c r="E494" s="36" t="inlineStr"/>
      <c r="F494" s="36" t="inlineStr">
        <is>
          <t>Stopped</t>
        </is>
      </c>
      <c r="G494" s="36" t="inlineStr">
        <is>
          <t>Stopped</t>
        </is>
      </c>
      <c r="H494" s="35" t="n">
        <v>3</v>
      </c>
      <c r="I494" s="36" t="inlineStr">
        <is>
          <t>2025-07-03</t>
        </is>
      </c>
      <c r="J494" s="36" t="inlineStr">
        <is>
          <t>2025-10-24</t>
        </is>
      </c>
      <c r="K494" s="35" t="n">
        <v>113</v>
      </c>
      <c r="L494" s="38" t="inlineStr">
        <is>
          <t>Yes</t>
        </is>
      </c>
      <c r="M494" s="36" t="inlineStr"/>
      <c r="N494" s="36" t="inlineStr">
        <is>
          <t>BSP</t>
        </is>
      </c>
    </row>
    <row r="495" ht="14" customHeight="1">
      <c r="A495" s="39" t="n">
        <v>495</v>
      </c>
      <c r="B495" s="40" t="inlineStr">
        <is>
          <t>yec2877-ucr</t>
        </is>
      </c>
      <c r="C495" s="40" t="inlineStr">
        <is>
          <t>DP-COMM-8079</t>
        </is>
      </c>
      <c r="D495" s="41" t="inlineStr">
        <is>
          <t>DP-COMM-8079-V1-FWS-SIGNAL</t>
        </is>
      </c>
      <c r="E495" s="40" t="inlineStr"/>
      <c r="F495" s="40" t="inlineStr">
        <is>
          <t>Stopped</t>
        </is>
      </c>
      <c r="G495" s="40" t="inlineStr">
        <is>
          <t>Stopped</t>
        </is>
      </c>
      <c r="H495" s="39" t="n">
        <v>3</v>
      </c>
      <c r="I495" s="40" t="inlineStr">
        <is>
          <t>2025-07-03</t>
        </is>
      </c>
      <c r="J495" s="40" t="inlineStr">
        <is>
          <t>2025-10-24</t>
        </is>
      </c>
      <c r="K495" s="39" t="n">
        <v>113</v>
      </c>
      <c r="L495" s="38" t="inlineStr">
        <is>
          <t>Yes</t>
        </is>
      </c>
      <c r="M495" s="40" t="inlineStr"/>
      <c r="N495" s="40" t="inlineStr">
        <is>
          <t>BSP</t>
        </is>
      </c>
    </row>
    <row r="496" ht="14" customHeight="1">
      <c r="A496" s="35" t="n">
        <v>496</v>
      </c>
      <c r="B496" s="36" t="inlineStr">
        <is>
          <t>yec2877-ucr</t>
        </is>
      </c>
      <c r="C496" s="36" t="inlineStr">
        <is>
          <t>DP-COMM-8079</t>
        </is>
      </c>
      <c r="D496" s="37" t="inlineStr">
        <is>
          <t>DP-COMM-8079-V1-FWS-CYPRESS</t>
        </is>
      </c>
      <c r="E496" s="36" t="inlineStr"/>
      <c r="F496" s="36" t="inlineStr">
        <is>
          <t>Stopped</t>
        </is>
      </c>
      <c r="G496" s="36" t="inlineStr">
        <is>
          <t>Stopped</t>
        </is>
      </c>
      <c r="H496" s="35" t="n">
        <v>1</v>
      </c>
      <c r="I496" s="36" t="inlineStr">
        <is>
          <t>2025-06-13</t>
        </is>
      </c>
      <c r="J496" s="36" t="inlineStr">
        <is>
          <t>2025-06-13</t>
        </is>
      </c>
      <c r="K496" s="35" t="n">
        <v>0</v>
      </c>
      <c r="L496" s="38" t="inlineStr">
        <is>
          <t>Yes</t>
        </is>
      </c>
      <c r="M496" s="36" t="inlineStr"/>
      <c r="N496" s="36" t="inlineStr">
        <is>
          <t>BSP</t>
        </is>
      </c>
    </row>
    <row r="497" ht="14" customHeight="1">
      <c r="A497" s="39" t="n">
        <v>497</v>
      </c>
      <c r="B497" s="40" t="inlineStr">
        <is>
          <t>yib2156_manpack_sdr</t>
        </is>
      </c>
      <c r="C497" s="40" t="inlineStr">
        <is>
          <t>DP-COMM-8022</t>
        </is>
      </c>
      <c r="D497" s="41" t="inlineStr">
        <is>
          <t>DP-COMM-8022-V1-AS-SYS-ATP-AUDIO-ARM-LIN64</t>
        </is>
      </c>
      <c r="E497" s="40" t="inlineStr"/>
      <c r="F497" s="40" t="inlineStr">
        <is>
          <t>Current</t>
        </is>
      </c>
      <c r="G497" s="40" t="inlineStr">
        <is>
          <t>Current</t>
        </is>
      </c>
      <c r="H497" s="39" t="n">
        <v>5</v>
      </c>
      <c r="I497" s="40" t="inlineStr">
        <is>
          <t>2026-02-12</t>
        </is>
      </c>
      <c r="J497" s="40" t="inlineStr">
        <is>
          <t>2026-02-12</t>
        </is>
      </c>
      <c r="K497" s="39" t="n">
        <v>0</v>
      </c>
      <c r="L497" s="38" t="inlineStr">
        <is>
          <t>Yes</t>
        </is>
      </c>
      <c r="M497" s="40" t="inlineStr"/>
      <c r="N497" s="40" t="inlineStr">
        <is>
          <t>BSP</t>
        </is>
      </c>
    </row>
    <row r="498" ht="14" customHeight="1">
      <c r="A498" s="35" t="n">
        <v>498</v>
      </c>
      <c r="B498" s="36" t="inlineStr">
        <is>
          <t>yib2156_manpack_sdr</t>
        </is>
      </c>
      <c r="C498" s="36" t="inlineStr">
        <is>
          <t>DP-COMM-8022</t>
        </is>
      </c>
      <c r="D498" s="37" t="inlineStr">
        <is>
          <t>DP-COMM-8022-V1-AS-SYS-ATP-SEC-ARM-LIN64</t>
        </is>
      </c>
      <c r="E498" s="36" t="inlineStr"/>
      <c r="F498" s="36" t="inlineStr">
        <is>
          <t>Current</t>
        </is>
      </c>
      <c r="G498" s="36" t="inlineStr">
        <is>
          <t>Current</t>
        </is>
      </c>
      <c r="H498" s="35" t="n">
        <v>3</v>
      </c>
      <c r="I498" s="36" t="inlineStr">
        <is>
          <t>2026-02-12</t>
        </is>
      </c>
      <c r="J498" s="36" t="inlineStr">
        <is>
          <t>2026-02-12</t>
        </is>
      </c>
      <c r="K498" s="35" t="n">
        <v>0</v>
      </c>
      <c r="L498" s="38" t="inlineStr">
        <is>
          <t>Yes</t>
        </is>
      </c>
      <c r="M498" s="36" t="inlineStr"/>
      <c r="N498" s="36" t="inlineStr">
        <is>
          <t>BSP</t>
        </is>
      </c>
    </row>
    <row r="499" ht="14" customHeight="1">
      <c r="A499" s="39" t="n">
        <v>499</v>
      </c>
      <c r="B499" s="40" t="inlineStr">
        <is>
          <t>yib2156_manpack_sdr</t>
        </is>
      </c>
      <c r="C499" s="40" t="inlineStr">
        <is>
          <t>DP-COMM-8022</t>
        </is>
      </c>
      <c r="D499" s="41" t="inlineStr">
        <is>
          <t>DP-COMM-8022-V1-AS-SYS-ATP-SIGNAL-ARM-LIN64</t>
        </is>
      </c>
      <c r="E499" s="40" t="inlineStr"/>
      <c r="F499" s="40" t="inlineStr">
        <is>
          <t>Current</t>
        </is>
      </c>
      <c r="G499" s="40" t="inlineStr">
        <is>
          <t>Current</t>
        </is>
      </c>
      <c r="H499" s="39" t="n">
        <v>3</v>
      </c>
      <c r="I499" s="40" t="inlineStr">
        <is>
          <t>2026-02-12</t>
        </is>
      </c>
      <c r="J499" s="40" t="inlineStr">
        <is>
          <t>2026-02-12</t>
        </is>
      </c>
      <c r="K499" s="39" t="n">
        <v>0</v>
      </c>
      <c r="L499" s="38" t="inlineStr">
        <is>
          <t>Yes</t>
        </is>
      </c>
      <c r="M499" s="40" t="inlineStr"/>
      <c r="N499" s="40" t="inlineStr">
        <is>
          <t>BSP</t>
        </is>
      </c>
    </row>
    <row r="500" ht="14" customHeight="1">
      <c r="A500" s="35" t="n">
        <v>500</v>
      </c>
      <c r="B500" s="36" t="inlineStr">
        <is>
          <t>yib2156_manpack_sdr</t>
        </is>
      </c>
      <c r="C500" s="36" t="inlineStr">
        <is>
          <t>DP-COMM-8022</t>
        </is>
      </c>
      <c r="D500" s="37" t="inlineStr">
        <is>
          <t>DP-COMM-8022-V1-AS-AUDIO-ARM-LIN64</t>
        </is>
      </c>
      <c r="E500" s="36" t="inlineStr"/>
      <c r="F500" s="36" t="inlineStr">
        <is>
          <t>Current</t>
        </is>
      </c>
      <c r="G500" s="36" t="inlineStr">
        <is>
          <t>Current</t>
        </is>
      </c>
      <c r="H500" s="35" t="n">
        <v>1</v>
      </c>
      <c r="I500" s="36" t="inlineStr">
        <is>
          <t>2025-09-17</t>
        </is>
      </c>
      <c r="J500" s="36" t="inlineStr">
        <is>
          <t>2025-12-26</t>
        </is>
      </c>
      <c r="K500" s="35" t="n">
        <v>100</v>
      </c>
      <c r="L500" s="38" t="inlineStr">
        <is>
          <t>Yes</t>
        </is>
      </c>
      <c r="M500" s="36" t="inlineStr"/>
      <c r="N500" s="36" t="inlineStr">
        <is>
          <t>BSP</t>
        </is>
      </c>
    </row>
    <row r="501" ht="14" customHeight="1">
      <c r="A501" s="39" t="n">
        <v>501</v>
      </c>
      <c r="B501" s="40" t="inlineStr">
        <is>
          <t>yib2156_manpack_sdr</t>
        </is>
      </c>
      <c r="C501" s="40" t="inlineStr">
        <is>
          <t>DP-COMM-8022</t>
        </is>
      </c>
      <c r="D501" s="41" t="inlineStr">
        <is>
          <t>DP-COMM-8022-V1-AS-AUDIO-ARM-LIN64</t>
        </is>
      </c>
      <c r="E501" s="40" t="inlineStr"/>
      <c r="F501" s="40" t="inlineStr">
        <is>
          <t>Current</t>
        </is>
      </c>
      <c r="G501" s="40" t="inlineStr">
        <is>
          <t>Current</t>
        </is>
      </c>
      <c r="H501" s="39" t="n">
        <v>30</v>
      </c>
      <c r="I501" s="40" t="inlineStr">
        <is>
          <t>2025-09-17</t>
        </is>
      </c>
      <c r="J501" s="40" t="inlineStr">
        <is>
          <t>2025-12-26</t>
        </is>
      </c>
      <c r="K501" s="39" t="n">
        <v>100</v>
      </c>
      <c r="L501" s="38" t="inlineStr">
        <is>
          <t>Yes</t>
        </is>
      </c>
      <c r="M501" s="40" t="inlineStr"/>
      <c r="N501" s="40" t="inlineStr">
        <is>
          <t>BSP</t>
        </is>
      </c>
    </row>
    <row r="502" ht="14" customHeight="1">
      <c r="A502" s="35" t="n">
        <v>502</v>
      </c>
      <c r="B502" s="36" t="inlineStr">
        <is>
          <t>yib2156_manpack_sdr</t>
        </is>
      </c>
      <c r="C502" s="36" t="inlineStr">
        <is>
          <t>DP-COMM-8022</t>
        </is>
      </c>
      <c r="D502" s="37" t="inlineStr">
        <is>
          <t>DP-COMM-8022-V1-FWS-SECURITY</t>
        </is>
      </c>
      <c r="E502" s="36" t="inlineStr"/>
      <c r="F502" s="36" t="inlineStr">
        <is>
          <t>Current</t>
        </is>
      </c>
      <c r="G502" s="36" t="inlineStr">
        <is>
          <t>Current</t>
        </is>
      </c>
      <c r="H502" s="35" t="n">
        <v>3</v>
      </c>
      <c r="I502" s="36" t="inlineStr">
        <is>
          <t>2025-12-26</t>
        </is>
      </c>
      <c r="J502" s="36" t="inlineStr">
        <is>
          <t>2025-12-29</t>
        </is>
      </c>
      <c r="K502" s="35" t="n">
        <v>3</v>
      </c>
      <c r="L502" s="38" t="inlineStr">
        <is>
          <t>Yes</t>
        </is>
      </c>
      <c r="M502" s="36" t="inlineStr"/>
      <c r="N502" s="36" t="inlineStr">
        <is>
          <t>BSP</t>
        </is>
      </c>
    </row>
    <row r="503" ht="14" customHeight="1">
      <c r="A503" s="39" t="n">
        <v>503</v>
      </c>
      <c r="B503" s="40" t="inlineStr">
        <is>
          <t>yib2156_manpack_sdr</t>
        </is>
      </c>
      <c r="C503" s="40" t="inlineStr">
        <is>
          <t>DP-COMM-8022</t>
        </is>
      </c>
      <c r="D503" s="41" t="inlineStr">
        <is>
          <t>DP-COMM-8022-V1-FWS-SIGNAL</t>
        </is>
      </c>
      <c r="E503" s="40" t="inlineStr"/>
      <c r="F503" s="40" t="inlineStr">
        <is>
          <t>Current</t>
        </is>
      </c>
      <c r="G503" s="40" t="inlineStr">
        <is>
          <t>Current</t>
        </is>
      </c>
      <c r="H503" s="39" t="n">
        <v>3</v>
      </c>
      <c r="I503" s="40" t="inlineStr">
        <is>
          <t>2025-12-02</t>
        </is>
      </c>
      <c r="J503" s="40" t="inlineStr">
        <is>
          <t>2025-12-26</t>
        </is>
      </c>
      <c r="K503" s="39" t="n">
        <v>24</v>
      </c>
      <c r="L503" s="38" t="inlineStr">
        <is>
          <t>Yes</t>
        </is>
      </c>
      <c r="M503" s="40" t="inlineStr"/>
      <c r="N503" s="40" t="inlineStr">
        <is>
          <t>BSP</t>
        </is>
      </c>
    </row>
    <row r="504" ht="14" customHeight="1">
      <c r="A504" s="35" t="n">
        <v>504</v>
      </c>
      <c r="B504" s="36" t="inlineStr">
        <is>
          <t>yib2156_manpack_sdr</t>
        </is>
      </c>
      <c r="C504" s="36" t="inlineStr"/>
      <c r="D504" s="37" t="inlineStr">
        <is>
          <t>project_sample</t>
        </is>
      </c>
      <c r="E504" s="36" t="inlineStr"/>
      <c r="F504" s="36" t="inlineStr">
        <is>
          <t>Current</t>
        </is>
      </c>
      <c r="G504" s="36" t="inlineStr">
        <is>
          <t>Current</t>
        </is>
      </c>
      <c r="H504" s="35" t="n">
        <v>1</v>
      </c>
      <c r="I504" s="36" t="inlineStr">
        <is>
          <t>2026-01-21</t>
        </is>
      </c>
      <c r="J504" s="36" t="inlineStr">
        <is>
          <t>2026-01-21</t>
        </is>
      </c>
      <c r="K504" s="35" t="n">
        <v>0</v>
      </c>
      <c r="L504" s="38" t="inlineStr">
        <is>
          <t>Yes</t>
        </is>
      </c>
      <c r="M504" s="36" t="inlineStr"/>
      <c r="N504" s="36" t="inlineStr">
        <is>
          <t>BSP</t>
        </is>
      </c>
    </row>
    <row r="505" ht="14" customHeight="1">
      <c r="A505" s="39" t="n">
        <v>505</v>
      </c>
      <c r="B505" s="40" t="inlineStr">
        <is>
          <t>yic2835_small_ff_sdr</t>
        </is>
      </c>
      <c r="C505" s="40" t="inlineStr">
        <is>
          <t>DP-COMM-8076</t>
        </is>
      </c>
      <c r="D505" s="41" t="inlineStr">
        <is>
          <t>DP-COMM-8076-V1-AS-HOST-x86-W10</t>
        </is>
      </c>
      <c r="E505" s="40" t="inlineStr"/>
      <c r="F505" s="40" t="inlineStr">
        <is>
          <t>Current</t>
        </is>
      </c>
      <c r="G505" s="40" t="inlineStr">
        <is>
          <t>Current</t>
        </is>
      </c>
      <c r="H505" s="39" t="n">
        <v>10</v>
      </c>
      <c r="I505" s="40" t="inlineStr">
        <is>
          <t>2025-08-11</t>
        </is>
      </c>
      <c r="J505" s="40" t="inlineStr">
        <is>
          <t>2026-01-01</t>
        </is>
      </c>
      <c r="K505" s="39" t="n">
        <v>143</v>
      </c>
      <c r="L505" s="38" t="inlineStr">
        <is>
          <t>Yes</t>
        </is>
      </c>
      <c r="M505" s="40" t="inlineStr"/>
      <c r="N505" s="40" t="inlineStr">
        <is>
          <t>BSP</t>
        </is>
      </c>
    </row>
    <row r="506" ht="14" customHeight="1">
      <c r="A506" s="35" t="n">
        <v>506</v>
      </c>
      <c r="B506" s="36" t="inlineStr">
        <is>
          <t>yic2835_small_ff_sdr</t>
        </is>
      </c>
      <c r="C506" s="36" t="inlineStr"/>
      <c r="D506" s="37" t="inlineStr">
        <is>
          <t>DP-COMM-8076-V1-AS-SIGNAL-ARM-LIN64</t>
        </is>
      </c>
      <c r="E506" s="36" t="inlineStr"/>
      <c r="F506" s="36" t="inlineStr">
        <is>
          <t>On hold</t>
        </is>
      </c>
      <c r="G506" s="36" t="inlineStr">
        <is>
          <t>On hold</t>
        </is>
      </c>
      <c r="H506" s="35" t="n">
        <v>24</v>
      </c>
      <c r="I506" s="36" t="inlineStr">
        <is>
          <t>2025-08-21</t>
        </is>
      </c>
      <c r="J506" s="36" t="inlineStr">
        <is>
          <t>2026-01-27</t>
        </is>
      </c>
      <c r="K506" s="35" t="n">
        <v>159</v>
      </c>
      <c r="L506" s="38" t="inlineStr">
        <is>
          <t>Yes</t>
        </is>
      </c>
      <c r="M506" s="36" t="inlineStr"/>
      <c r="N506" s="36" t="inlineStr">
        <is>
          <t>BSP</t>
        </is>
      </c>
    </row>
    <row r="507" ht="14" customHeight="1">
      <c r="A507" s="39" t="n">
        <v>507</v>
      </c>
      <c r="B507" s="40" t="inlineStr">
        <is>
          <t>yic2964-aeecu</t>
        </is>
      </c>
      <c r="C507" s="40" t="inlineStr">
        <is>
          <t>DP-OBC-1014</t>
        </is>
      </c>
      <c r="D507" s="41" t="inlineStr">
        <is>
          <t>DP-OBC-1014-V1-01-LIBS-ARM-FW-WITH-MISRA</t>
        </is>
      </c>
      <c r="E507" s="40" t="inlineStr"/>
      <c r="F507" s="40" t="inlineStr">
        <is>
          <t>Current</t>
        </is>
      </c>
      <c r="G507" s="40" t="inlineStr">
        <is>
          <t>Current</t>
        </is>
      </c>
      <c r="H507" s="39" t="n">
        <v>41</v>
      </c>
      <c r="I507" s="40" t="inlineStr">
        <is>
          <t>2025-09-01</t>
        </is>
      </c>
      <c r="J507" s="40" t="inlineStr">
        <is>
          <t>2026-02-05</t>
        </is>
      </c>
      <c r="K507" s="39" t="n">
        <v>157</v>
      </c>
      <c r="L507" s="38" t="inlineStr">
        <is>
          <t>Yes</t>
        </is>
      </c>
      <c r="M507" s="40" t="inlineStr"/>
      <c r="N507" s="40" t="inlineStr">
        <is>
          <t>BSP</t>
        </is>
      </c>
    </row>
    <row r="508" ht="14" customHeight="1">
      <c r="A508" s="35" t="n">
        <v>508</v>
      </c>
      <c r="B508" s="36" t="inlineStr">
        <is>
          <t>yic2964-aeecu</t>
        </is>
      </c>
      <c r="C508" s="36" t="inlineStr">
        <is>
          <t>DP-OBC-1014</t>
        </is>
      </c>
      <c r="D508" s="37" t="inlineStr">
        <is>
          <t>DP-OBC-1014-V1-01-LIBS-ARM-FW-WITHOUT-MISRA</t>
        </is>
      </c>
      <c r="E508" s="36" t="inlineStr"/>
      <c r="F508" s="36" t="inlineStr">
        <is>
          <t>On hold</t>
        </is>
      </c>
      <c r="G508" s="36" t="inlineStr">
        <is>
          <t>On hold</t>
        </is>
      </c>
      <c r="H508" s="35" t="n">
        <v>25</v>
      </c>
      <c r="I508" s="36" t="inlineStr">
        <is>
          <t>2025-08-13</t>
        </is>
      </c>
      <c r="J508" s="36" t="inlineStr">
        <is>
          <t>2025-08-25</t>
        </is>
      </c>
      <c r="K508" s="35" t="n">
        <v>12</v>
      </c>
      <c r="L508" s="38" t="inlineStr">
        <is>
          <t>Yes</t>
        </is>
      </c>
      <c r="M508" s="36" t="inlineStr"/>
      <c r="N508" s="36" t="inlineStr">
        <is>
          <t>BSP</t>
        </is>
      </c>
    </row>
    <row r="509" ht="14" customHeight="1">
      <c r="A509" s="39" t="n">
        <v>509</v>
      </c>
      <c r="B509" s="40" t="inlineStr">
        <is>
          <t>yea2885_agru_ate</t>
        </is>
      </c>
      <c r="C509" s="40" t="inlineStr"/>
      <c r="D509" s="41" t="inlineStr">
        <is>
          <t>AS</t>
        </is>
      </c>
      <c r="E509" s="40" t="inlineStr"/>
      <c r="F509" s="40" t="inlineStr">
        <is>
          <t>Completed</t>
        </is>
      </c>
      <c r="G509" s="40" t="inlineStr">
        <is>
          <t>Completed</t>
        </is>
      </c>
      <c r="H509" s="39" t="n">
        <v>1</v>
      </c>
      <c r="I509" s="40" t="inlineStr">
        <is>
          <t>2024-12-18</t>
        </is>
      </c>
      <c r="J509" s="40" t="inlineStr">
        <is>
          <t>2024-12-18</t>
        </is>
      </c>
      <c r="K509" s="39" t="n">
        <v>0</v>
      </c>
      <c r="L509" s="38" t="inlineStr">
        <is>
          <t>Yes</t>
        </is>
      </c>
      <c r="M509" s="40" t="inlineStr"/>
      <c r="N509" s="40" t="inlineStr">
        <is>
          <t>BSP</t>
        </is>
      </c>
    </row>
    <row r="510" ht="14" customHeight="1">
      <c r="A510" s="35" t="n">
        <v>510</v>
      </c>
      <c r="B510" s="36" t="inlineStr">
        <is>
          <t>yea2885_agru_ate</t>
        </is>
      </c>
      <c r="C510" s="36" t="inlineStr"/>
      <c r="D510" s="37" t="inlineStr">
        <is>
          <t>DS</t>
        </is>
      </c>
      <c r="E510" s="36" t="inlineStr"/>
      <c r="F510" s="36" t="inlineStr">
        <is>
          <t>Completed</t>
        </is>
      </c>
      <c r="G510" s="36" t="inlineStr">
        <is>
          <t>Completed</t>
        </is>
      </c>
      <c r="H510" s="35" t="n">
        <v>3</v>
      </c>
      <c r="I510" s="36" t="inlineStr">
        <is>
          <t>2024-12-18</t>
        </is>
      </c>
      <c r="J510" s="36" t="inlineStr">
        <is>
          <t>2024-12-19</t>
        </is>
      </c>
      <c r="K510" s="35" t="n">
        <v>1</v>
      </c>
      <c r="L510" s="38" t="inlineStr">
        <is>
          <t>Yes</t>
        </is>
      </c>
      <c r="M510" s="36" t="inlineStr"/>
      <c r="N510" s="36" t="inlineStr">
        <is>
          <t>BSP</t>
        </is>
      </c>
    </row>
    <row r="511" ht="14" customHeight="1">
      <c r="A511" s="39" t="n">
        <v>511</v>
      </c>
      <c r="B511" s="40" t="inlineStr">
        <is>
          <t>yeb2986_mmdc</t>
        </is>
      </c>
      <c r="C511" s="40" t="inlineStr">
        <is>
          <t>DP-VPX-3611</t>
        </is>
      </c>
      <c r="D511" s="41" t="inlineStr">
        <is>
          <t>DP-VPX-3611-V1-AS-X86-W10</t>
        </is>
      </c>
      <c r="E511" s="40" t="inlineStr"/>
      <c r="F511" s="40" t="inlineStr">
        <is>
          <t>Current</t>
        </is>
      </c>
      <c r="G511" s="40" t="inlineStr">
        <is>
          <t>Current</t>
        </is>
      </c>
      <c r="H511" s="39" t="n">
        <v>1</v>
      </c>
      <c r="I511" s="40" t="inlineStr">
        <is>
          <t>2025-12-09</t>
        </is>
      </c>
      <c r="J511" s="40" t="inlineStr">
        <is>
          <t>2025-12-09</t>
        </is>
      </c>
      <c r="K511" s="39" t="n">
        <v>0</v>
      </c>
      <c r="L511" s="38" t="inlineStr">
        <is>
          <t>Yes</t>
        </is>
      </c>
      <c r="M511" s="40" t="inlineStr"/>
      <c r="N511" s="40" t="inlineStr">
        <is>
          <t>BSP</t>
        </is>
      </c>
    </row>
    <row r="512" ht="14" customHeight="1">
      <c r="A512" s="35" t="n">
        <v>512</v>
      </c>
      <c r="B512" s="36" t="inlineStr">
        <is>
          <t>yeb2986_mmdc</t>
        </is>
      </c>
      <c r="C512" s="36" t="inlineStr"/>
      <c r="D512" s="37" t="inlineStr">
        <is>
          <t>DP-VPX-3611-V1-AS</t>
        </is>
      </c>
      <c r="E512" s="36" t="inlineStr"/>
      <c r="F512" s="36" t="inlineStr">
        <is>
          <t>Current</t>
        </is>
      </c>
      <c r="G512" s="36" t="inlineStr">
        <is>
          <t>Current</t>
        </is>
      </c>
      <c r="H512" s="35" t="n">
        <v>1</v>
      </c>
      <c r="I512" s="36" t="inlineStr">
        <is>
          <t>2025-07-02</t>
        </is>
      </c>
      <c r="J512" s="36" t="inlineStr">
        <is>
          <t>2025-07-02</t>
        </is>
      </c>
      <c r="K512" s="35" t="n">
        <v>0</v>
      </c>
      <c r="L512" s="38" t="inlineStr">
        <is>
          <t>Yes</t>
        </is>
      </c>
      <c r="M512" s="36" t="inlineStr"/>
      <c r="N512" s="36" t="inlineStr">
        <is>
          <t>BSP</t>
        </is>
      </c>
    </row>
    <row r="513" ht="14" customHeight="1">
      <c r="A513" s="39" t="n">
        <v>513</v>
      </c>
      <c r="B513" s="40" t="inlineStr">
        <is>
          <t>yeb2986_mmdc</t>
        </is>
      </c>
      <c r="C513" s="40" t="inlineStr"/>
      <c r="D513" s="41" t="inlineStr">
        <is>
          <t>DP-VPX-3611-V1-DS</t>
        </is>
      </c>
      <c r="E513" s="40" t="inlineStr"/>
      <c r="F513" s="40" t="inlineStr">
        <is>
          <t>Current</t>
        </is>
      </c>
      <c r="G513" s="40" t="inlineStr">
        <is>
          <t>Current</t>
        </is>
      </c>
      <c r="H513" s="39" t="n">
        <v>7</v>
      </c>
      <c r="I513" s="40" t="inlineStr">
        <is>
          <t>2025-07-02</t>
        </is>
      </c>
      <c r="J513" s="40" t="inlineStr">
        <is>
          <t>2026-02-12</t>
        </is>
      </c>
      <c r="K513" s="39" t="n">
        <v>225</v>
      </c>
      <c r="L513" s="38" t="inlineStr">
        <is>
          <t>Yes</t>
        </is>
      </c>
      <c r="M513" s="40" t="inlineStr"/>
      <c r="N513" s="40" t="inlineStr">
        <is>
          <t>BSP</t>
        </is>
      </c>
    </row>
    <row r="514" ht="14" customHeight="1">
      <c r="A514" s="35" t="n">
        <v>514</v>
      </c>
      <c r="B514" s="36" t="inlineStr">
        <is>
          <t>yeb2986_mmdc</t>
        </is>
      </c>
      <c r="C514" s="36" t="inlineStr"/>
      <c r="D514" s="37" t="inlineStr">
        <is>
          <t>DRV</t>
        </is>
      </c>
      <c r="E514" s="36" t="inlineStr"/>
      <c r="F514" s="36" t="inlineStr">
        <is>
          <t>Current</t>
        </is>
      </c>
      <c r="G514" s="36" t="inlineStr">
        <is>
          <t>Current</t>
        </is>
      </c>
      <c r="H514" s="35" t="n">
        <v>5</v>
      </c>
      <c r="I514" s="36" t="inlineStr">
        <is>
          <t>2025-10-06</t>
        </is>
      </c>
      <c r="J514" s="36" t="inlineStr">
        <is>
          <t>2026-01-24</t>
        </is>
      </c>
      <c r="K514" s="35" t="n">
        <v>110</v>
      </c>
      <c r="L514" s="38" t="inlineStr">
        <is>
          <t>Yes</t>
        </is>
      </c>
      <c r="M514" s="36" t="inlineStr"/>
      <c r="N514" s="36" t="inlineStr">
        <is>
          <t>BSP</t>
        </is>
      </c>
    </row>
    <row r="515" ht="14" customHeight="1">
      <c r="A515" s="39" t="n">
        <v>515</v>
      </c>
      <c r="B515" s="40" t="inlineStr">
        <is>
          <t>yic2964-aeecu</t>
        </is>
      </c>
      <c r="C515" s="40" t="inlineStr"/>
      <c r="D515" s="41" t="inlineStr">
        <is>
          <t>ATE-QT-TARGET</t>
        </is>
      </c>
      <c r="E515" s="40" t="inlineStr"/>
      <c r="F515" s="40" t="inlineStr">
        <is>
          <t>On hold</t>
        </is>
      </c>
      <c r="G515" s="40" t="inlineStr">
        <is>
          <t>On hold</t>
        </is>
      </c>
      <c r="H515" s="39" t="n">
        <v>3</v>
      </c>
      <c r="I515" s="40" t="inlineStr">
        <is>
          <t>2025-10-31</t>
        </is>
      </c>
      <c r="J515" s="40" t="inlineStr">
        <is>
          <t>2025-11-01</t>
        </is>
      </c>
      <c r="K515" s="39" t="n">
        <v>1</v>
      </c>
      <c r="L515" s="38" t="inlineStr">
        <is>
          <t>Yes</t>
        </is>
      </c>
      <c r="M515" s="40" t="inlineStr"/>
      <c r="N515" s="40" t="inlineStr">
        <is>
          <t>BSP</t>
        </is>
      </c>
    </row>
    <row r="516" ht="14" customHeight="1">
      <c r="A516" s="35" t="n">
        <v>516</v>
      </c>
      <c r="B516" s="36" t="inlineStr">
        <is>
          <t>yic2964-aeecu</t>
        </is>
      </c>
      <c r="C516" s="36" t="inlineStr"/>
      <c r="D516" s="37" t="inlineStr">
        <is>
          <t>ATE-HOST</t>
        </is>
      </c>
      <c r="E516" s="36" t="inlineStr"/>
      <c r="F516" s="36" t="inlineStr">
        <is>
          <t>On hold</t>
        </is>
      </c>
      <c r="G516" s="36" t="inlineStr">
        <is>
          <t>On hold</t>
        </is>
      </c>
      <c r="H516" s="35" t="n">
        <v>9</v>
      </c>
      <c r="I516" s="36" t="inlineStr">
        <is>
          <t>2025-10-31</t>
        </is>
      </c>
      <c r="J516" s="36" t="inlineStr">
        <is>
          <t>2025-11-27</t>
        </is>
      </c>
      <c r="K516" s="35" t="n">
        <v>27</v>
      </c>
      <c r="L516" s="38" t="inlineStr">
        <is>
          <t>Yes</t>
        </is>
      </c>
      <c r="M516" s="36" t="inlineStr"/>
      <c r="N516" s="36" t="inlineStr">
        <is>
          <t>BSP</t>
        </is>
      </c>
    </row>
    <row r="517" ht="14" customHeight="1">
      <c r="A517" s="39" t="n">
        <v>517</v>
      </c>
      <c r="B517" s="40" t="inlineStr">
        <is>
          <t>yic2964-aeecu</t>
        </is>
      </c>
      <c r="C517" s="40" t="inlineStr"/>
      <c r="D517" s="41" t="inlineStr">
        <is>
          <t>QT-HOST</t>
        </is>
      </c>
      <c r="E517" s="40" t="inlineStr"/>
      <c r="F517" s="40" t="inlineStr">
        <is>
          <t>On hold</t>
        </is>
      </c>
      <c r="G517" s="40" t="inlineStr">
        <is>
          <t>On hold</t>
        </is>
      </c>
      <c r="H517" s="39" t="n">
        <v>6</v>
      </c>
      <c r="I517" s="40" t="inlineStr">
        <is>
          <t>2025-11-27</t>
        </is>
      </c>
      <c r="J517" s="40" t="inlineStr">
        <is>
          <t>2025-11-27</t>
        </is>
      </c>
      <c r="K517" s="39" t="n">
        <v>0</v>
      </c>
      <c r="L517" s="38" t="inlineStr">
        <is>
          <t>Yes</t>
        </is>
      </c>
      <c r="M517" s="40" t="inlineStr"/>
      <c r="N517" s="40" t="inlineStr">
        <is>
          <t>BSP</t>
        </is>
      </c>
    </row>
    <row r="518" ht="14" customHeight="1">
      <c r="A518" s="35" t="n">
        <v>518</v>
      </c>
      <c r="B518" s="36" t="inlineStr">
        <is>
          <t>YIA2822</t>
        </is>
      </c>
      <c r="C518" s="36" t="inlineStr">
        <is>
          <t>DP-VPX-0972</t>
        </is>
      </c>
      <c r="D518" s="37" t="inlineStr"/>
      <c r="E518" s="36" t="inlineStr"/>
      <c r="F518" s="36" t="inlineStr">
        <is>
          <t>Current</t>
        </is>
      </c>
      <c r="G518" s="36" t="inlineStr">
        <is>
          <t>Current</t>
        </is>
      </c>
      <c r="H518" s="35" t="n">
        <v>0</v>
      </c>
      <c r="I518" s="36" t="inlineStr"/>
      <c r="J518" s="36" t="inlineStr"/>
      <c r="K518" s="35" t="n">
        <v>0</v>
      </c>
      <c r="L518" s="42" t="inlineStr">
        <is>
          <t>No</t>
        </is>
      </c>
      <c r="M518" s="36" t="inlineStr"/>
      <c r="N518" s="36" t="inlineStr">
        <is>
          <t>BSP</t>
        </is>
      </c>
    </row>
    <row r="519" ht="14" customHeight="1">
      <c r="A519" s="39" t="n">
        <v>519</v>
      </c>
      <c r="B519" s="40" t="inlineStr"/>
      <c r="C519" s="40" t="inlineStr">
        <is>
          <t>DP-VPX-0701</t>
        </is>
      </c>
      <c r="D519" s="41" t="inlineStr"/>
      <c r="E519" s="40" t="inlineStr"/>
      <c r="F519" s="40" t="inlineStr">
        <is>
          <t>Current</t>
        </is>
      </c>
      <c r="G519" s="40" t="inlineStr">
        <is>
          <t>Current</t>
        </is>
      </c>
      <c r="H519" s="39" t="n">
        <v>0</v>
      </c>
      <c r="I519" s="40" t="inlineStr"/>
      <c r="J519" s="40" t="inlineStr"/>
      <c r="K519" s="39" t="n">
        <v>0</v>
      </c>
      <c r="L519" s="42" t="inlineStr">
        <is>
          <t>No</t>
        </is>
      </c>
      <c r="M519" s="40" t="inlineStr"/>
      <c r="N519" s="40" t="inlineStr">
        <is>
          <t>BSP</t>
        </is>
      </c>
    </row>
    <row r="520" ht="14" customHeight="1">
      <c r="A520" s="35" t="n">
        <v>520</v>
      </c>
      <c r="B520" s="36" t="inlineStr">
        <is>
          <t>BIA2525</t>
        </is>
      </c>
      <c r="C520" s="36" t="inlineStr">
        <is>
          <t>DP-SPL-4021</t>
        </is>
      </c>
      <c r="D520" s="37" t="inlineStr"/>
      <c r="E520" s="36" t="inlineStr"/>
      <c r="F520" s="36" t="inlineStr">
        <is>
          <t>Current</t>
        </is>
      </c>
      <c r="G520" s="36" t="inlineStr">
        <is>
          <t>Current</t>
        </is>
      </c>
      <c r="H520" s="35" t="n">
        <v>0</v>
      </c>
      <c r="I520" s="36" t="inlineStr"/>
      <c r="J520" s="36" t="inlineStr"/>
      <c r="K520" s="35" t="n">
        <v>0</v>
      </c>
      <c r="L520" s="42" t="inlineStr">
        <is>
          <t>No</t>
        </is>
      </c>
      <c r="M520" s="36" t="inlineStr"/>
      <c r="N520" s="36" t="inlineStr">
        <is>
          <t>BSP</t>
        </is>
      </c>
    </row>
    <row r="521" ht="14" customHeight="1">
      <c r="A521" s="39" t="n">
        <v>521</v>
      </c>
      <c r="B521" s="40" t="inlineStr">
        <is>
          <t>YEB2763</t>
        </is>
      </c>
      <c r="C521" s="40" t="inlineStr">
        <is>
          <t>DP-OBC-8103</t>
        </is>
      </c>
      <c r="D521" s="41" t="inlineStr"/>
      <c r="E521" s="40" t="inlineStr"/>
      <c r="F521" s="40" t="inlineStr">
        <is>
          <t>Current</t>
        </is>
      </c>
      <c r="G521" s="40" t="inlineStr">
        <is>
          <t>Current</t>
        </is>
      </c>
      <c r="H521" s="39" t="n">
        <v>0</v>
      </c>
      <c r="I521" s="40" t="inlineStr"/>
      <c r="J521" s="40" t="inlineStr"/>
      <c r="K521" s="39" t="n">
        <v>0</v>
      </c>
      <c r="L521" s="42" t="inlineStr">
        <is>
          <t>No</t>
        </is>
      </c>
      <c r="M521" s="40" t="inlineStr"/>
      <c r="N521" s="40" t="inlineStr">
        <is>
          <t>BSP</t>
        </is>
      </c>
    </row>
    <row r="522" ht="14" customHeight="1">
      <c r="A522" s="35" t="n">
        <v>522</v>
      </c>
      <c r="B522" s="36" t="inlineStr"/>
      <c r="C522" s="36" t="inlineStr">
        <is>
          <t>DP-OBC-0453</t>
        </is>
      </c>
      <c r="D522" s="37" t="inlineStr"/>
      <c r="E522" s="36" t="inlineStr"/>
      <c r="F522" s="36" t="inlineStr">
        <is>
          <t>Current</t>
        </is>
      </c>
      <c r="G522" s="36" t="inlineStr">
        <is>
          <t>Current</t>
        </is>
      </c>
      <c r="H522" s="35" t="n">
        <v>0</v>
      </c>
      <c r="I522" s="36" t="inlineStr"/>
      <c r="J522" s="36" t="inlineStr"/>
      <c r="K522" s="35" t="n">
        <v>0</v>
      </c>
      <c r="L522" s="42" t="inlineStr">
        <is>
          <t>No</t>
        </is>
      </c>
      <c r="M522" s="36" t="inlineStr"/>
      <c r="N522" s="36" t="inlineStr">
        <is>
          <t>BSP</t>
        </is>
      </c>
    </row>
    <row r="523" ht="14" customHeight="1">
      <c r="A523" s="39" t="n">
        <v>523</v>
      </c>
      <c r="B523" s="40" t="inlineStr"/>
      <c r="C523" s="40" t="inlineStr">
        <is>
          <t>DP-OBC-5118</t>
        </is>
      </c>
      <c r="D523" s="41" t="inlineStr"/>
      <c r="E523" s="40" t="inlineStr"/>
      <c r="F523" s="40" t="inlineStr">
        <is>
          <t>Current</t>
        </is>
      </c>
      <c r="G523" s="40" t="inlineStr">
        <is>
          <t>Current</t>
        </is>
      </c>
      <c r="H523" s="39" t="n">
        <v>0</v>
      </c>
      <c r="I523" s="40" t="inlineStr"/>
      <c r="J523" s="40" t="inlineStr"/>
      <c r="K523" s="39" t="n">
        <v>0</v>
      </c>
      <c r="L523" s="42" t="inlineStr">
        <is>
          <t>No</t>
        </is>
      </c>
      <c r="M523" s="40" t="inlineStr"/>
      <c r="N523" s="40" t="inlineStr">
        <is>
          <t>BSP</t>
        </is>
      </c>
    </row>
    <row r="524" ht="14" customHeight="1">
      <c r="A524" s="35" t="n">
        <v>524</v>
      </c>
      <c r="B524" s="36" t="inlineStr">
        <is>
          <t>YIB2821</t>
        </is>
      </c>
      <c r="C524" s="36" t="inlineStr">
        <is>
          <t>DP-COMM-8031</t>
        </is>
      </c>
      <c r="D524" s="37" t="inlineStr"/>
      <c r="E524" s="36" t="inlineStr"/>
      <c r="F524" s="36" t="inlineStr">
        <is>
          <t>Current</t>
        </is>
      </c>
      <c r="G524" s="36" t="inlineStr">
        <is>
          <t>Current</t>
        </is>
      </c>
      <c r="H524" s="35" t="n">
        <v>0</v>
      </c>
      <c r="I524" s="36" t="inlineStr"/>
      <c r="J524" s="36" t="inlineStr"/>
      <c r="K524" s="35" t="n">
        <v>0</v>
      </c>
      <c r="L524" s="42" t="inlineStr">
        <is>
          <t>No</t>
        </is>
      </c>
      <c r="M524" s="36" t="inlineStr"/>
      <c r="N524" s="36" t="inlineStr">
        <is>
          <t>BSP</t>
        </is>
      </c>
    </row>
    <row r="525" ht="14" customHeight="1">
      <c r="A525" s="39" t="n">
        <v>525</v>
      </c>
      <c r="B525" s="40" t="inlineStr">
        <is>
          <t>YIC2105</t>
        </is>
      </c>
      <c r="C525" s="40" t="inlineStr">
        <is>
          <t>DP-SPL-0124</t>
        </is>
      </c>
      <c r="D525" s="41" t="inlineStr"/>
      <c r="E525" s="40" t="inlineStr"/>
      <c r="F525" s="40" t="inlineStr">
        <is>
          <t>Current</t>
        </is>
      </c>
      <c r="G525" s="40" t="inlineStr">
        <is>
          <t>Current</t>
        </is>
      </c>
      <c r="H525" s="39" t="n">
        <v>0</v>
      </c>
      <c r="I525" s="40" t="inlineStr"/>
      <c r="J525" s="40" t="inlineStr"/>
      <c r="K525" s="39" t="n">
        <v>0</v>
      </c>
      <c r="L525" s="42" t="inlineStr">
        <is>
          <t>No</t>
        </is>
      </c>
      <c r="M525" s="40" t="inlineStr"/>
      <c r="N525" s="40" t="inlineStr">
        <is>
          <t>BSP</t>
        </is>
      </c>
    </row>
    <row r="526" ht="14" customHeight="1">
      <c r="A526" s="35" t="n">
        <v>526</v>
      </c>
      <c r="B526" s="36" t="inlineStr">
        <is>
          <t>YEB2848</t>
        </is>
      </c>
      <c r="C526" s="36" t="inlineStr">
        <is>
          <t>DP-OBC-8163</t>
        </is>
      </c>
      <c r="D526" s="37" t="inlineStr"/>
      <c r="E526" s="36" t="inlineStr"/>
      <c r="F526" s="36" t="inlineStr">
        <is>
          <t>Current</t>
        </is>
      </c>
      <c r="G526" s="36" t="inlineStr">
        <is>
          <t>Current</t>
        </is>
      </c>
      <c r="H526" s="35" t="n">
        <v>0</v>
      </c>
      <c r="I526" s="36" t="inlineStr"/>
      <c r="J526" s="36" t="inlineStr"/>
      <c r="K526" s="35" t="n">
        <v>0</v>
      </c>
      <c r="L526" s="42" t="inlineStr">
        <is>
          <t>No</t>
        </is>
      </c>
      <c r="M526" s="36" t="inlineStr"/>
      <c r="N526" s="36" t="inlineStr">
        <is>
          <t>BSP</t>
        </is>
      </c>
    </row>
    <row r="527" ht="14" customHeight="1">
      <c r="A527" s="39" t="n">
        <v>527</v>
      </c>
      <c r="B527" s="40" t="inlineStr">
        <is>
          <t>YEA2864</t>
        </is>
      </c>
      <c r="C527" s="40" t="inlineStr">
        <is>
          <t>DP-XMC-5775</t>
        </is>
      </c>
      <c r="D527" s="41" t="inlineStr"/>
      <c r="E527" s="40" t="inlineStr"/>
      <c r="F527" s="40" t="inlineStr">
        <is>
          <t>Completed</t>
        </is>
      </c>
      <c r="G527" s="40" t="inlineStr">
        <is>
          <t>Completed</t>
        </is>
      </c>
      <c r="H527" s="39" t="n">
        <v>0</v>
      </c>
      <c r="I527" s="40" t="inlineStr"/>
      <c r="J527" s="40" t="inlineStr"/>
      <c r="K527" s="39" t="n">
        <v>0</v>
      </c>
      <c r="L527" s="42" t="inlineStr">
        <is>
          <t>No</t>
        </is>
      </c>
      <c r="M527" s="40" t="inlineStr"/>
      <c r="N527" s="40" t="inlineStr">
        <is>
          <t>BSP</t>
        </is>
      </c>
    </row>
    <row r="528" ht="14" customHeight="1">
      <c r="A528" s="35" t="n">
        <v>528</v>
      </c>
      <c r="B528" s="36" t="inlineStr">
        <is>
          <t>YIB2815</t>
        </is>
      </c>
      <c r="C528" s="36" t="inlineStr">
        <is>
          <t>DP-VPX-3608</t>
        </is>
      </c>
      <c r="D528" s="37" t="inlineStr"/>
      <c r="E528" s="36" t="inlineStr"/>
      <c r="F528" s="36" t="inlineStr">
        <is>
          <t>Completed</t>
        </is>
      </c>
      <c r="G528" s="36" t="inlineStr">
        <is>
          <t>Completed</t>
        </is>
      </c>
      <c r="H528" s="35" t="n">
        <v>0</v>
      </c>
      <c r="I528" s="36" t="inlineStr"/>
      <c r="J528" s="36" t="inlineStr"/>
      <c r="K528" s="35" t="n">
        <v>0</v>
      </c>
      <c r="L528" s="42" t="inlineStr">
        <is>
          <t>No</t>
        </is>
      </c>
      <c r="M528" s="36" t="inlineStr"/>
      <c r="N528" s="36" t="inlineStr">
        <is>
          <t>BSP</t>
        </is>
      </c>
    </row>
    <row r="529" ht="14" customHeight="1">
      <c r="A529" s="39" t="n">
        <v>529</v>
      </c>
      <c r="B529" s="40" t="inlineStr">
        <is>
          <t>YIC2823</t>
        </is>
      </c>
      <c r="C529" s="40" t="inlineStr">
        <is>
          <t>DP-SPL-4039</t>
        </is>
      </c>
      <c r="D529" s="41" t="inlineStr"/>
      <c r="E529" s="40" t="inlineStr"/>
      <c r="F529" s="40" t="inlineStr">
        <is>
          <t>Current</t>
        </is>
      </c>
      <c r="G529" s="40" t="inlineStr">
        <is>
          <t>Current</t>
        </is>
      </c>
      <c r="H529" s="39" t="n">
        <v>0</v>
      </c>
      <c r="I529" s="40" t="inlineStr"/>
      <c r="J529" s="40" t="inlineStr"/>
      <c r="K529" s="39" t="n">
        <v>0</v>
      </c>
      <c r="L529" s="42" t="inlineStr">
        <is>
          <t>No</t>
        </is>
      </c>
      <c r="M529" s="40" t="inlineStr"/>
      <c r="N529" s="40" t="inlineStr">
        <is>
          <t>BSP</t>
        </is>
      </c>
    </row>
    <row r="530" ht="14" customHeight="1">
      <c r="A530" s="35" t="n">
        <v>530</v>
      </c>
      <c r="B530" s="36" t="inlineStr">
        <is>
          <t>YEA2930</t>
        </is>
      </c>
      <c r="C530" s="36" t="inlineStr">
        <is>
          <t>DP-VPX-1028</t>
        </is>
      </c>
      <c r="D530" s="37" t="inlineStr"/>
      <c r="E530" s="36" t="inlineStr"/>
      <c r="F530" s="36" t="inlineStr">
        <is>
          <t>Current</t>
        </is>
      </c>
      <c r="G530" s="36" t="inlineStr">
        <is>
          <t>Current</t>
        </is>
      </c>
      <c r="H530" s="35" t="n">
        <v>0</v>
      </c>
      <c r="I530" s="36" t="inlineStr"/>
      <c r="J530" s="36" t="inlineStr"/>
      <c r="K530" s="35" t="n">
        <v>0</v>
      </c>
      <c r="L530" s="42" t="inlineStr">
        <is>
          <t>No</t>
        </is>
      </c>
      <c r="M530" s="36" t="inlineStr"/>
      <c r="N530" s="36" t="inlineStr">
        <is>
          <t>BSP</t>
        </is>
      </c>
    </row>
    <row r="531" ht="14" customHeight="1">
      <c r="A531" s="39" t="n">
        <v>531</v>
      </c>
      <c r="B531" s="40" t="inlineStr"/>
      <c r="C531" s="40" t="inlineStr">
        <is>
          <t>DP-VPX-5294</t>
        </is>
      </c>
      <c r="D531" s="41" t="inlineStr"/>
      <c r="E531" s="40" t="inlineStr"/>
      <c r="F531" s="40" t="inlineStr">
        <is>
          <t>Current</t>
        </is>
      </c>
      <c r="G531" s="40" t="inlineStr">
        <is>
          <t>Current</t>
        </is>
      </c>
      <c r="H531" s="39" t="n">
        <v>0</v>
      </c>
      <c r="I531" s="40" t="inlineStr"/>
      <c r="J531" s="40" t="inlineStr"/>
      <c r="K531" s="39" t="n">
        <v>0</v>
      </c>
      <c r="L531" s="42" t="inlineStr">
        <is>
          <t>No</t>
        </is>
      </c>
      <c r="M531" s="40" t="inlineStr"/>
      <c r="N531" s="40" t="inlineStr">
        <is>
          <t>BSP</t>
        </is>
      </c>
    </row>
    <row r="532" ht="14" customHeight="1">
      <c r="A532" s="35" t="n">
        <v>532</v>
      </c>
      <c r="B532" s="36" t="inlineStr">
        <is>
          <t>YEA2846</t>
        </is>
      </c>
      <c r="C532" s="36" t="inlineStr">
        <is>
          <t>DP-VPX-1025</t>
        </is>
      </c>
      <c r="D532" s="37" t="inlineStr"/>
      <c r="E532" s="36" t="inlineStr"/>
      <c r="F532" s="36" t="inlineStr">
        <is>
          <t>Completed</t>
        </is>
      </c>
      <c r="G532" s="36" t="inlineStr">
        <is>
          <t>Completed</t>
        </is>
      </c>
      <c r="H532" s="35" t="n">
        <v>0</v>
      </c>
      <c r="I532" s="36" t="inlineStr"/>
      <c r="J532" s="36" t="inlineStr"/>
      <c r="K532" s="35" t="n">
        <v>0</v>
      </c>
      <c r="L532" s="42" t="inlineStr">
        <is>
          <t>No</t>
        </is>
      </c>
      <c r="M532" s="36" t="inlineStr"/>
      <c r="N532" s="36" t="inlineStr">
        <is>
          <t>BSP</t>
        </is>
      </c>
    </row>
    <row r="533" ht="14" customHeight="1">
      <c r="A533" s="39" t="n">
        <v>533</v>
      </c>
      <c r="B533" s="40" t="inlineStr">
        <is>
          <t>BIA2896</t>
        </is>
      </c>
      <c r="C533" s="40" t="inlineStr">
        <is>
          <t>DP-SPL-3511</t>
        </is>
      </c>
      <c r="D533" s="41" t="inlineStr"/>
      <c r="E533" s="40" t="inlineStr"/>
      <c r="F533" s="40" t="inlineStr">
        <is>
          <t>Current</t>
        </is>
      </c>
      <c r="G533" s="40" t="inlineStr">
        <is>
          <t>Current</t>
        </is>
      </c>
      <c r="H533" s="39" t="n">
        <v>0</v>
      </c>
      <c r="I533" s="40" t="inlineStr"/>
      <c r="J533" s="40" t="inlineStr"/>
      <c r="K533" s="39" t="n">
        <v>0</v>
      </c>
      <c r="L533" s="42" t="inlineStr">
        <is>
          <t>No</t>
        </is>
      </c>
      <c r="M533" s="40" t="inlineStr"/>
      <c r="N533" s="40" t="inlineStr">
        <is>
          <t>BSP</t>
        </is>
      </c>
    </row>
    <row r="534" ht="14" customHeight="1">
      <c r="A534" s="35" t="n">
        <v>534</v>
      </c>
      <c r="B534" s="36" t="inlineStr">
        <is>
          <t>YEB2986</t>
        </is>
      </c>
      <c r="C534" s="36" t="inlineStr">
        <is>
          <t>DP-VPX-0930</t>
        </is>
      </c>
      <c r="D534" s="37" t="inlineStr"/>
      <c r="E534" s="36" t="inlineStr"/>
      <c r="F534" s="36" t="inlineStr">
        <is>
          <t>On hold</t>
        </is>
      </c>
      <c r="G534" s="36" t="inlineStr">
        <is>
          <t>On hold</t>
        </is>
      </c>
      <c r="H534" s="35" t="n">
        <v>0</v>
      </c>
      <c r="I534" s="36" t="inlineStr"/>
      <c r="J534" s="36" t="inlineStr"/>
      <c r="K534" s="35" t="n">
        <v>0</v>
      </c>
      <c r="L534" s="42" t="inlineStr">
        <is>
          <t>No</t>
        </is>
      </c>
      <c r="M534" s="36" t="inlineStr"/>
      <c r="N534" s="36" t="inlineStr">
        <is>
          <t>BSP</t>
        </is>
      </c>
    </row>
    <row r="535" ht="14" customHeight="1">
      <c r="A535" s="39" t="n">
        <v>535</v>
      </c>
      <c r="B535" s="40" t="inlineStr"/>
      <c r="C535" s="40" t="inlineStr">
        <is>
          <t>DP-OBC-8205</t>
        </is>
      </c>
      <c r="D535" s="41" t="inlineStr"/>
      <c r="E535" s="40" t="inlineStr"/>
      <c r="F535" s="40" t="inlineStr">
        <is>
          <t>On hold</t>
        </is>
      </c>
      <c r="G535" s="40" t="inlineStr">
        <is>
          <t>On hold</t>
        </is>
      </c>
      <c r="H535" s="39" t="n">
        <v>0</v>
      </c>
      <c r="I535" s="40" t="inlineStr"/>
      <c r="J535" s="40" t="inlineStr"/>
      <c r="K535" s="39" t="n">
        <v>0</v>
      </c>
      <c r="L535" s="42" t="inlineStr">
        <is>
          <t>No</t>
        </is>
      </c>
      <c r="M535" s="40" t="inlineStr"/>
      <c r="N535" s="40" t="inlineStr">
        <is>
          <t>BSP</t>
        </is>
      </c>
    </row>
    <row r="536" ht="14" customHeight="1">
      <c r="A536" s="35" t="n">
        <v>536</v>
      </c>
      <c r="B536" s="36" t="inlineStr">
        <is>
          <t>SIA2928</t>
        </is>
      </c>
      <c r="C536" s="36" t="inlineStr">
        <is>
          <t>SCA</t>
        </is>
      </c>
      <c r="D536" s="37" t="inlineStr"/>
      <c r="E536" s="36" t="inlineStr"/>
      <c r="F536" s="36" t="inlineStr">
        <is>
          <t>Current</t>
        </is>
      </c>
      <c r="G536" s="36" t="inlineStr">
        <is>
          <t>Current</t>
        </is>
      </c>
      <c r="H536" s="35" t="n">
        <v>0</v>
      </c>
      <c r="I536" s="36" t="inlineStr"/>
      <c r="J536" s="36" t="inlineStr"/>
      <c r="K536" s="35" t="n">
        <v>0</v>
      </c>
      <c r="L536" s="42" t="inlineStr">
        <is>
          <t>No</t>
        </is>
      </c>
      <c r="M536" s="36" t="inlineStr"/>
      <c r="N536" s="36" t="inlineStr">
        <is>
          <t>BSP</t>
        </is>
      </c>
    </row>
    <row r="537" ht="14" customHeight="1">
      <c r="A537" s="39" t="n">
        <v>537</v>
      </c>
      <c r="B537" s="40" t="inlineStr">
        <is>
          <t>YEC2708</t>
        </is>
      </c>
      <c r="C537" s="40" t="inlineStr">
        <is>
          <t>DP-COMM-8031</t>
        </is>
      </c>
      <c r="D537" s="41" t="inlineStr"/>
      <c r="E537" s="40" t="inlineStr"/>
      <c r="F537" s="40" t="inlineStr">
        <is>
          <t>Current</t>
        </is>
      </c>
      <c r="G537" s="40" t="inlineStr">
        <is>
          <t>Current</t>
        </is>
      </c>
      <c r="H537" s="39" t="n">
        <v>0</v>
      </c>
      <c r="I537" s="40" t="inlineStr"/>
      <c r="J537" s="40" t="inlineStr"/>
      <c r="K537" s="39" t="n">
        <v>0</v>
      </c>
      <c r="L537" s="42" t="inlineStr">
        <is>
          <t>No</t>
        </is>
      </c>
      <c r="M537" s="40" t="inlineStr"/>
      <c r="N537" s="40" t="inlineStr">
        <is>
          <t>BSP</t>
        </is>
      </c>
    </row>
    <row r="538" ht="14" customHeight="1">
      <c r="A538" s="35" t="n">
        <v>538</v>
      </c>
      <c r="B538" s="36" t="inlineStr">
        <is>
          <t>YIA2822</t>
        </is>
      </c>
      <c r="C538" s="36" t="inlineStr">
        <is>
          <t>DP-VPX-0972</t>
        </is>
      </c>
      <c r="D538" s="37" t="inlineStr"/>
      <c r="E538" s="36" t="inlineStr"/>
      <c r="F538" s="36" t="inlineStr">
        <is>
          <t>Current</t>
        </is>
      </c>
      <c r="G538" s="36" t="inlineStr">
        <is>
          <t>Current</t>
        </is>
      </c>
      <c r="H538" s="35" t="n">
        <v>0</v>
      </c>
      <c r="I538" s="36" t="inlineStr"/>
      <c r="J538" s="36" t="inlineStr"/>
      <c r="K538" s="35" t="n">
        <v>0</v>
      </c>
      <c r="L538" s="42" t="inlineStr">
        <is>
          <t>No</t>
        </is>
      </c>
      <c r="M538" s="36" t="inlineStr"/>
      <c r="N538" s="36" t="inlineStr">
        <is>
          <t>BSP</t>
        </is>
      </c>
    </row>
    <row r="539" ht="14" customHeight="1">
      <c r="A539" s="39" t="n">
        <v>539</v>
      </c>
      <c r="B539" s="40" t="inlineStr"/>
      <c r="C539" s="40" t="inlineStr">
        <is>
          <t>DP-VPX-0701</t>
        </is>
      </c>
      <c r="D539" s="41" t="inlineStr"/>
      <c r="E539" s="40" t="inlineStr"/>
      <c r="F539" s="40" t="inlineStr">
        <is>
          <t>Current</t>
        </is>
      </c>
      <c r="G539" s="40" t="inlineStr">
        <is>
          <t>Current</t>
        </is>
      </c>
      <c r="H539" s="39" t="n">
        <v>0</v>
      </c>
      <c r="I539" s="40" t="inlineStr"/>
      <c r="J539" s="40" t="inlineStr"/>
      <c r="K539" s="39" t="n">
        <v>0</v>
      </c>
      <c r="L539" s="42" t="inlineStr">
        <is>
          <t>No</t>
        </is>
      </c>
      <c r="M539" s="40" t="inlineStr"/>
      <c r="N539" s="40" t="inlineStr">
        <is>
          <t>BSP</t>
        </is>
      </c>
    </row>
    <row r="540" ht="14" customHeight="1">
      <c r="A540" s="35" t="n">
        <v>540</v>
      </c>
      <c r="B540" s="36" t="inlineStr"/>
      <c r="C540" s="36" t="inlineStr">
        <is>
          <t>DP-XMC-5046</t>
        </is>
      </c>
      <c r="D540" s="37" t="inlineStr"/>
      <c r="E540" s="36" t="inlineStr"/>
      <c r="F540" s="36" t="inlineStr">
        <is>
          <t>Current</t>
        </is>
      </c>
      <c r="G540" s="36" t="inlineStr">
        <is>
          <t>Current</t>
        </is>
      </c>
      <c r="H540" s="35" t="n">
        <v>0</v>
      </c>
      <c r="I540" s="36" t="inlineStr"/>
      <c r="J540" s="36" t="inlineStr"/>
      <c r="K540" s="35" t="n">
        <v>0</v>
      </c>
      <c r="L540" s="42" t="inlineStr">
        <is>
          <t>No</t>
        </is>
      </c>
      <c r="M540" s="36" t="inlineStr"/>
      <c r="N540" s="36" t="inlineStr">
        <is>
          <t>BSP</t>
        </is>
      </c>
    </row>
    <row r="541" ht="14" customHeight="1">
      <c r="A541" s="39" t="n">
        <v>541</v>
      </c>
      <c r="B541" s="40" t="inlineStr"/>
      <c r="C541" s="40" t="inlineStr">
        <is>
          <t>DP-XMC-5007</t>
        </is>
      </c>
      <c r="D541" s="41" t="inlineStr"/>
      <c r="E541" s="40" t="inlineStr"/>
      <c r="F541" s="40" t="inlineStr">
        <is>
          <t>Current</t>
        </is>
      </c>
      <c r="G541" s="40" t="inlineStr">
        <is>
          <t>Current</t>
        </is>
      </c>
      <c r="H541" s="39" t="n">
        <v>0</v>
      </c>
      <c r="I541" s="40" t="inlineStr"/>
      <c r="J541" s="40" t="inlineStr"/>
      <c r="K541" s="39" t="n">
        <v>0</v>
      </c>
      <c r="L541" s="42" t="inlineStr">
        <is>
          <t>No</t>
        </is>
      </c>
      <c r="M541" s="40" t="inlineStr"/>
      <c r="N541" s="40" t="inlineStr">
        <is>
          <t>BSP</t>
        </is>
      </c>
    </row>
    <row r="542" ht="14" customHeight="1">
      <c r="A542" s="35" t="n">
        <v>542</v>
      </c>
      <c r="B542" s="36" t="inlineStr"/>
      <c r="C542" s="36" t="inlineStr">
        <is>
          <t>DP-XMC-6000</t>
        </is>
      </c>
      <c r="D542" s="37" t="inlineStr"/>
      <c r="E542" s="36" t="inlineStr"/>
      <c r="F542" s="36" t="inlineStr">
        <is>
          <t>Current</t>
        </is>
      </c>
      <c r="G542" s="36" t="inlineStr">
        <is>
          <t>Current</t>
        </is>
      </c>
      <c r="H542" s="35" t="n">
        <v>0</v>
      </c>
      <c r="I542" s="36" t="inlineStr"/>
      <c r="J542" s="36" t="inlineStr"/>
      <c r="K542" s="35" t="n">
        <v>0</v>
      </c>
      <c r="L542" s="42" t="inlineStr">
        <is>
          <t>No</t>
        </is>
      </c>
      <c r="M542" s="36" t="inlineStr"/>
      <c r="N542" s="36" t="inlineStr">
        <is>
          <t>BSP</t>
        </is>
      </c>
    </row>
    <row r="543" ht="14" customHeight="1">
      <c r="A543" s="39" t="n">
        <v>543</v>
      </c>
      <c r="B543" s="40" t="inlineStr"/>
      <c r="C543" s="40" t="inlineStr">
        <is>
          <t>DP-XMC-5010</t>
        </is>
      </c>
      <c r="D543" s="41" t="inlineStr"/>
      <c r="E543" s="40" t="inlineStr"/>
      <c r="F543" s="40" t="inlineStr">
        <is>
          <t>Current</t>
        </is>
      </c>
      <c r="G543" s="40" t="inlineStr">
        <is>
          <t>Current</t>
        </is>
      </c>
      <c r="H543" s="39" t="n">
        <v>0</v>
      </c>
      <c r="I543" s="40" t="inlineStr"/>
      <c r="J543" s="40" t="inlineStr"/>
      <c r="K543" s="39" t="n">
        <v>0</v>
      </c>
      <c r="L543" s="42" t="inlineStr">
        <is>
          <t>No</t>
        </is>
      </c>
      <c r="M543" s="40" t="inlineStr"/>
      <c r="N543" s="40" t="inlineStr">
        <is>
          <t>BSP</t>
        </is>
      </c>
    </row>
    <row r="544" ht="14" customHeight="1">
      <c r="A544" s="35" t="n">
        <v>544</v>
      </c>
      <c r="B544" s="36" t="inlineStr"/>
      <c r="C544" s="36" t="inlineStr">
        <is>
          <t>DP-SPL-4507</t>
        </is>
      </c>
      <c r="D544" s="37" t="inlineStr"/>
      <c r="E544" s="36" t="inlineStr"/>
      <c r="F544" s="36" t="inlineStr">
        <is>
          <t>Current</t>
        </is>
      </c>
      <c r="G544" s="36" t="inlineStr">
        <is>
          <t>Current</t>
        </is>
      </c>
      <c r="H544" s="35" t="n">
        <v>0</v>
      </c>
      <c r="I544" s="36" t="inlineStr"/>
      <c r="J544" s="36" t="inlineStr"/>
      <c r="K544" s="35" t="n">
        <v>0</v>
      </c>
      <c r="L544" s="42" t="inlineStr">
        <is>
          <t>No</t>
        </is>
      </c>
      <c r="M544" s="36" t="inlineStr"/>
      <c r="N544" s="36" t="inlineStr">
        <is>
          <t>BSP</t>
        </is>
      </c>
    </row>
    <row r="545" ht="14" customHeight="1">
      <c r="A545" s="39" t="n">
        <v>545</v>
      </c>
      <c r="B545" s="40" t="inlineStr">
        <is>
          <t>YEB2995</t>
        </is>
      </c>
      <c r="C545" s="40" t="inlineStr">
        <is>
          <t>DP-VME-0669</t>
        </is>
      </c>
      <c r="D545" s="41" t="inlineStr"/>
      <c r="E545" s="40" t="inlineStr"/>
      <c r="F545" s="40" t="inlineStr">
        <is>
          <t>Current</t>
        </is>
      </c>
      <c r="G545" s="40" t="inlineStr">
        <is>
          <t>Current</t>
        </is>
      </c>
      <c r="H545" s="39" t="n">
        <v>0</v>
      </c>
      <c r="I545" s="40" t="inlineStr"/>
      <c r="J545" s="40" t="inlineStr"/>
      <c r="K545" s="39" t="n">
        <v>0</v>
      </c>
      <c r="L545" s="42" t="inlineStr">
        <is>
          <t>No</t>
        </is>
      </c>
      <c r="M545" s="40" t="inlineStr"/>
      <c r="N545" s="40" t="inlineStr">
        <is>
          <t>BSP</t>
        </is>
      </c>
    </row>
    <row r="546" ht="14" customHeight="1">
      <c r="A546" s="35" t="n">
        <v>546</v>
      </c>
      <c r="B546" s="36" t="inlineStr"/>
      <c r="C546" s="36" t="inlineStr">
        <is>
          <t>DP-XMC-5535</t>
        </is>
      </c>
      <c r="D546" s="37" t="inlineStr"/>
      <c r="E546" s="36" t="inlineStr"/>
      <c r="F546" s="36" t="inlineStr">
        <is>
          <t>Current</t>
        </is>
      </c>
      <c r="G546" s="36" t="inlineStr">
        <is>
          <t>Current</t>
        </is>
      </c>
      <c r="H546" s="35" t="n">
        <v>0</v>
      </c>
      <c r="I546" s="36" t="inlineStr"/>
      <c r="J546" s="36" t="inlineStr"/>
      <c r="K546" s="35" t="n">
        <v>0</v>
      </c>
      <c r="L546" s="42" t="inlineStr">
        <is>
          <t>No</t>
        </is>
      </c>
      <c r="M546" s="36" t="inlineStr"/>
      <c r="N546" s="36" t="inlineStr">
        <is>
          <t>BSP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3" customWidth="1" min="5" max="5"/>
    <col width="14" customWidth="1" min="6" max="6"/>
    <col width="15" customWidth="1" min="7" max="7"/>
  </cols>
  <sheetData>
    <row r="1" ht="28" customHeight="1">
      <c r="A1" s="43" t="inlineStr">
        <is>
          <t>GIT AUDIT — TEAM-WISE SUMMARY (Formula-Driven)</t>
        </is>
      </c>
    </row>
    <row r="2" ht="18" customHeight="1">
      <c r="A2" s="22" t="inlineStr">
        <is>
          <t>Team</t>
        </is>
      </c>
      <c r="B2" s="22" t="inlineStr">
        <is>
          <t>Total CIs</t>
        </is>
      </c>
      <c r="C2" s="22" t="inlineStr">
        <is>
          <t>Git Available</t>
        </is>
      </c>
      <c r="D2" s="22" t="inlineStr">
        <is>
          <t>Git Not Available</t>
        </is>
      </c>
      <c r="E2" s="22" t="inlineStr">
        <is>
          <t>Adoption %</t>
        </is>
      </c>
      <c r="F2" s="22" t="inlineStr">
        <is>
          <t>Total Pushes</t>
        </is>
      </c>
      <c r="G2" s="22" t="inlineStr">
        <is>
          <t>Avg Pushes/CI</t>
        </is>
      </c>
    </row>
    <row r="3" ht="16" customHeight="1">
      <c r="A3" s="44" t="inlineStr">
        <is>
          <t>AGM</t>
        </is>
      </c>
      <c r="B3" s="45">
        <f>COUNTIF('Raw Data'!N$2:N$546,A3)</f>
        <v/>
      </c>
      <c r="C3" s="45">
        <f>COUNTIFS('Raw Data'!N$2:N$546,A3,'Raw Data'!L$2:L$546,"Available")+COUNTIFS('Raw Data'!N$2:N$546,A3,'Raw Data'!L$2:L$546,"Yes")</f>
        <v/>
      </c>
      <c r="D3" s="45">
        <f>B3-C3</f>
        <v/>
      </c>
      <c r="E3" s="46">
        <f>IF(B3&gt;0,C3/B3,0)</f>
        <v/>
      </c>
      <c r="F3" s="45">
        <f>SUMIF('Raw Data'!N$2:N$546,A3,'Raw Data'!H$2:H$546)</f>
        <v/>
      </c>
      <c r="G3" s="47">
        <f>IF(B3&gt;0,F3/B3,0)</f>
        <v/>
      </c>
    </row>
    <row r="4" ht="16" customHeight="1">
      <c r="A4" s="48" t="inlineStr">
        <is>
          <t>Application</t>
        </is>
      </c>
      <c r="B4" s="49">
        <f>COUNTIF('Raw Data'!N$2:N$546,A4)</f>
        <v/>
      </c>
      <c r="C4" s="49">
        <f>COUNTIFS('Raw Data'!N$2:N$546,A4,'Raw Data'!L$2:L$546,"Available")+COUNTIFS('Raw Data'!N$2:N$546,A4,'Raw Data'!L$2:L$546,"Yes")</f>
        <v/>
      </c>
      <c r="D4" s="49">
        <f>B4-C4</f>
        <v/>
      </c>
      <c r="E4" s="50">
        <f>IF(B4&gt;0,C4/B4,0)</f>
        <v/>
      </c>
      <c r="F4" s="49">
        <f>SUMIF('Raw Data'!N$2:N$546,A4,'Raw Data'!H$2:H$546)</f>
        <v/>
      </c>
      <c r="G4" s="51">
        <f>IF(B4&gt;0,F4/B4,0)</f>
        <v/>
      </c>
    </row>
    <row r="5" ht="16" customHeight="1">
      <c r="A5" s="44" t="inlineStr">
        <is>
          <t>BSP</t>
        </is>
      </c>
      <c r="B5" s="45">
        <f>COUNTIF('Raw Data'!N$2:N$546,A5)</f>
        <v/>
      </c>
      <c r="C5" s="45">
        <f>COUNTIFS('Raw Data'!N$2:N$546,A5,'Raw Data'!L$2:L$546,"Available")+COUNTIFS('Raw Data'!N$2:N$546,A5,'Raw Data'!L$2:L$546,"Yes")</f>
        <v/>
      </c>
      <c r="D5" s="45">
        <f>B5-C5</f>
        <v/>
      </c>
      <c r="E5" s="46">
        <f>IF(B5&gt;0,C5/B5,0)</f>
        <v/>
      </c>
      <c r="F5" s="45">
        <f>SUMIF('Raw Data'!N$2:N$546,A5,'Raw Data'!H$2:H$546)</f>
        <v/>
      </c>
      <c r="G5" s="47">
        <f>IF(B5&gt;0,F5/B5,0)</f>
        <v/>
      </c>
    </row>
    <row r="6" ht="16" customHeight="1">
      <c r="A6" s="48" t="inlineStr">
        <is>
          <t>Computing</t>
        </is>
      </c>
      <c r="B6" s="49">
        <f>COUNTIF('Raw Data'!N$2:N$546,A6)</f>
        <v/>
      </c>
      <c r="C6" s="49">
        <f>COUNTIFS('Raw Data'!N$2:N$546,A6,'Raw Data'!L$2:L$546,"Available")+COUNTIFS('Raw Data'!N$2:N$546,A6,'Raw Data'!L$2:L$546,"Yes")</f>
        <v/>
      </c>
      <c r="D6" s="49">
        <f>B6-C6</f>
        <v/>
      </c>
      <c r="E6" s="50">
        <f>IF(B6&gt;0,C6/B6,0)</f>
        <v/>
      </c>
      <c r="F6" s="49">
        <f>SUMIF('Raw Data'!N$2:N$546,A6,'Raw Data'!H$2:H$546)</f>
        <v/>
      </c>
      <c r="G6" s="51">
        <f>IF(B6&gt;0,F6/B6,0)</f>
        <v/>
      </c>
    </row>
    <row r="7" ht="16" customHeight="1">
      <c r="A7" s="44" t="inlineStr">
        <is>
          <t>RAD</t>
        </is>
      </c>
      <c r="B7" s="45">
        <f>COUNTIF('Raw Data'!N$2:N$546,A7)</f>
        <v/>
      </c>
      <c r="C7" s="45">
        <f>COUNTIFS('Raw Data'!N$2:N$546,A7,'Raw Data'!L$2:L$546,"Available")+COUNTIFS('Raw Data'!N$2:N$546,A7,'Raw Data'!L$2:L$546,"Yes")</f>
        <v/>
      </c>
      <c r="D7" s="45">
        <f>B7-C7</f>
        <v/>
      </c>
      <c r="E7" s="46">
        <f>IF(B7&gt;0,C7/B7,0)</f>
        <v/>
      </c>
      <c r="F7" s="45">
        <f>SUMIF('Raw Data'!N$2:N$546,A7,'Raw Data'!H$2:H$546)</f>
        <v/>
      </c>
      <c r="G7" s="47">
        <f>IF(B7&gt;0,F7/B7,0)</f>
        <v/>
      </c>
    </row>
    <row r="8" ht="18" customHeight="1">
      <c r="A8" s="31" t="inlineStr">
        <is>
          <t>GRAND TOTAL</t>
        </is>
      </c>
      <c r="B8" s="32">
        <f>SUM(B3:B7)</f>
        <v/>
      </c>
      <c r="C8" s="32">
        <f>SUM(C3:C7)</f>
        <v/>
      </c>
      <c r="D8" s="32">
        <f>SUM(D3:D7)</f>
        <v/>
      </c>
      <c r="E8" s="33">
        <f>IF(B8&gt;0,C8/B8,0)</f>
        <v/>
      </c>
      <c r="F8" s="32">
        <f>SUM(F3:F7)</f>
        <v/>
      </c>
      <c r="G8" s="34">
        <f>IF(B8&gt;0,F8/B8,0)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1" ht="28" customHeight="1">
      <c r="A1" s="43" t="inlineStr">
        <is>
          <t>GIT AUDIT — VISUAL ANALYSIS</t>
        </is>
      </c>
    </row>
    <row r="3">
      <c r="A3" s="52" t="inlineStr">
        <is>
          <t>Team</t>
        </is>
      </c>
      <c r="B3" s="52" t="inlineStr">
        <is>
          <t>Git Available</t>
        </is>
      </c>
      <c r="C3" s="52" t="inlineStr">
        <is>
          <t>Git Not Available</t>
        </is>
      </c>
    </row>
    <row r="4">
      <c r="A4" s="53">
        <f>'Team Summary'!A3</f>
        <v/>
      </c>
      <c r="B4" s="53">
        <f>'Team Summary'!C3</f>
        <v/>
      </c>
      <c r="C4" s="53">
        <f>'Team Summary'!D3</f>
        <v/>
      </c>
    </row>
    <row r="5">
      <c r="A5" s="53">
        <f>'Team Summary'!A4</f>
        <v/>
      </c>
      <c r="B5" s="53">
        <f>'Team Summary'!C4</f>
        <v/>
      </c>
      <c r="C5" s="53">
        <f>'Team Summary'!D4</f>
        <v/>
      </c>
    </row>
    <row r="6">
      <c r="A6" s="53">
        <f>'Team Summary'!A5</f>
        <v/>
      </c>
      <c r="B6" s="53">
        <f>'Team Summary'!C5</f>
        <v/>
      </c>
      <c r="C6" s="53">
        <f>'Team Summary'!D5</f>
        <v/>
      </c>
    </row>
    <row r="7">
      <c r="A7" s="53">
        <f>'Team Summary'!A6</f>
        <v/>
      </c>
      <c r="B7" s="53">
        <f>'Team Summary'!C6</f>
        <v/>
      </c>
      <c r="C7" s="53">
        <f>'Team Summary'!D6</f>
        <v/>
      </c>
    </row>
    <row r="8">
      <c r="A8" s="53">
        <f>'Team Summary'!A7</f>
        <v/>
      </c>
      <c r="B8" s="53">
        <f>'Team Summary'!C7</f>
        <v/>
      </c>
      <c r="C8" s="53">
        <f>'Team Summary'!D7</f>
        <v/>
      </c>
    </row>
    <row r="11">
      <c r="A11" s="54" t="inlineStr">
        <is>
          <t>Team</t>
        </is>
      </c>
      <c r="B11" s="54" t="inlineStr">
        <is>
          <t>Adoption %</t>
        </is>
      </c>
    </row>
    <row r="12">
      <c r="A12" s="53">
        <f>'Team Summary'!A3</f>
        <v/>
      </c>
      <c r="B12" s="55">
        <f>'Team Summary'!E3</f>
        <v/>
      </c>
    </row>
    <row r="13">
      <c r="A13" s="53">
        <f>'Team Summary'!A4</f>
        <v/>
      </c>
      <c r="B13" s="55">
        <f>'Team Summary'!E4</f>
        <v/>
      </c>
    </row>
    <row r="14">
      <c r="A14" s="53">
        <f>'Team Summary'!A5</f>
        <v/>
      </c>
      <c r="B14" s="55">
        <f>'Team Summary'!E5</f>
        <v/>
      </c>
    </row>
    <row r="15">
      <c r="A15" s="53">
        <f>'Team Summary'!A6</f>
        <v/>
      </c>
      <c r="B15" s="55">
        <f>'Team Summary'!E6</f>
        <v/>
      </c>
    </row>
    <row r="16">
      <c r="A16" s="53">
        <f>'Team Summary'!A7</f>
        <v/>
      </c>
      <c r="B16" s="55">
        <f>'Team Summary'!E7</f>
        <v/>
      </c>
    </row>
    <row r="19">
      <c r="A19" s="56" t="inlineStr">
        <is>
          <t>Status</t>
        </is>
      </c>
      <c r="B19" s="56" t="inlineStr">
        <is>
          <t>Count</t>
        </is>
      </c>
    </row>
    <row r="20">
      <c r="A20" t="inlineStr">
        <is>
          <t>Git Available</t>
        </is>
      </c>
      <c r="B20">
        <f>'Team Summary'!C8</f>
        <v/>
      </c>
    </row>
    <row r="21">
      <c r="A21" t="inlineStr">
        <is>
          <t>Git Not Available</t>
        </is>
      </c>
      <c r="B21">
        <f>'Team Summary'!D8</f>
        <v/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4" customWidth="1" min="4" max="4"/>
    <col width="16" customWidth="1" min="5" max="5"/>
    <col width="13" customWidth="1" min="6" max="6"/>
  </cols>
  <sheetData>
    <row r="1" ht="24" customHeight="1">
      <c r="A1" s="57" t="inlineStr">
        <is>
          <t>PRODUCT-WISE GIT AVAILABILITY (Formula-Driven)</t>
        </is>
      </c>
    </row>
    <row r="2" ht="18" customHeight="1">
      <c r="A2" s="22" t="inlineStr">
        <is>
          <t>Team</t>
        </is>
      </c>
      <c r="B2" s="22" t="inlineStr">
        <is>
          <t>Product ID</t>
        </is>
      </c>
      <c r="C2" s="22" t="inlineStr">
        <is>
          <t>Total CIs</t>
        </is>
      </c>
      <c r="D2" s="22" t="inlineStr">
        <is>
          <t>Git Available</t>
        </is>
      </c>
      <c r="E2" s="22" t="inlineStr">
        <is>
          <t>Git Not Available</t>
        </is>
      </c>
      <c r="F2" s="22" t="inlineStr">
        <is>
          <t>Adoption %</t>
        </is>
      </c>
    </row>
    <row r="3" ht="14" customHeight="1">
      <c r="A3" s="58" t="inlineStr">
        <is>
          <t>AGM</t>
        </is>
      </c>
      <c r="B3" s="58" t="inlineStr">
        <is>
          <t>DP-COM-8031-630</t>
        </is>
      </c>
      <c r="C3" s="45">
        <f>COUNTIF('Raw Data'!C$2:C$546,B3)</f>
        <v/>
      </c>
      <c r="D3" s="45">
        <f>COUNTIFS('Raw Data'!C$2:C$546,B3,'Raw Data'!L$2:L$546,"Available")+COUNTIFS('Raw Data'!C$2:C$546,B3,'Raw Data'!L$2:L$546,"Yes")</f>
        <v/>
      </c>
      <c r="E3" s="45">
        <f>C3-D3</f>
        <v/>
      </c>
      <c r="F3" s="46">
        <f>IF(C3&gt;0,D3/C3,0)</f>
        <v/>
      </c>
    </row>
    <row r="4" ht="14" customHeight="1">
      <c r="A4" s="59" t="inlineStr">
        <is>
          <t>AGM</t>
        </is>
      </c>
      <c r="B4" s="59" t="inlineStr">
        <is>
          <t>DP-COM-8031-633</t>
        </is>
      </c>
      <c r="C4" s="49">
        <f>COUNTIF('Raw Data'!C$2:C$546,B4)</f>
        <v/>
      </c>
      <c r="D4" s="49">
        <f>COUNTIFS('Raw Data'!C$2:C$546,B4,'Raw Data'!L$2:L$546,"Available")+COUNTIFS('Raw Data'!C$2:C$546,B4,'Raw Data'!L$2:L$546,"Yes")</f>
        <v/>
      </c>
      <c r="E4" s="49">
        <f>C4-D4</f>
        <v/>
      </c>
      <c r="F4" s="50">
        <f>IF(C4&gt;0,D4/C4,0)</f>
        <v/>
      </c>
    </row>
    <row r="5" ht="14" customHeight="1">
      <c r="A5" s="58" t="inlineStr">
        <is>
          <t>AGM</t>
        </is>
      </c>
      <c r="B5" s="58" t="inlineStr">
        <is>
          <t>DP-CRF-2213</t>
        </is>
      </c>
      <c r="C5" s="45">
        <f>COUNTIF('Raw Data'!C$2:C$546,B5)</f>
        <v/>
      </c>
      <c r="D5" s="45">
        <f>COUNTIFS('Raw Data'!C$2:C$546,B5,'Raw Data'!L$2:L$546,"Available")+COUNTIFS('Raw Data'!C$2:C$546,B5,'Raw Data'!L$2:L$546,"Yes")</f>
        <v/>
      </c>
      <c r="E5" s="45">
        <f>C5-D5</f>
        <v/>
      </c>
      <c r="F5" s="46">
        <f>IF(C5&gt;0,D5/C5,0)</f>
        <v/>
      </c>
    </row>
    <row r="6" ht="14" customHeight="1">
      <c r="A6" s="59" t="inlineStr">
        <is>
          <t>AGM</t>
        </is>
      </c>
      <c r="B6" s="59" t="inlineStr">
        <is>
          <t>DP-CRF-2519</t>
        </is>
      </c>
      <c r="C6" s="49">
        <f>COUNTIF('Raw Data'!C$2:C$546,B6)</f>
        <v/>
      </c>
      <c r="D6" s="49">
        <f>COUNTIFS('Raw Data'!C$2:C$546,B6,'Raw Data'!L$2:L$546,"Available")+COUNTIFS('Raw Data'!C$2:C$546,B6,'Raw Data'!L$2:L$546,"Yes")</f>
        <v/>
      </c>
      <c r="E6" s="49">
        <f>C6-D6</f>
        <v/>
      </c>
      <c r="F6" s="50">
        <f>IF(C6&gt;0,D6/C6,0)</f>
        <v/>
      </c>
    </row>
    <row r="7" ht="14" customHeight="1">
      <c r="A7" s="58" t="inlineStr">
        <is>
          <t>AGM</t>
        </is>
      </c>
      <c r="B7" s="58" t="inlineStr">
        <is>
          <t>DP-CRF-5366</t>
        </is>
      </c>
      <c r="C7" s="45">
        <f>COUNTIF('Raw Data'!C$2:C$546,B7)</f>
        <v/>
      </c>
      <c r="D7" s="45">
        <f>COUNTIFS('Raw Data'!C$2:C$546,B7,'Raw Data'!L$2:L$546,"Available")+COUNTIFS('Raw Data'!C$2:C$546,B7,'Raw Data'!L$2:L$546,"Yes")</f>
        <v/>
      </c>
      <c r="E7" s="45">
        <f>C7-D7</f>
        <v/>
      </c>
      <c r="F7" s="46">
        <f>IF(C7&gt;0,D7/C7,0)</f>
        <v/>
      </c>
    </row>
    <row r="8" ht="14" customHeight="1">
      <c r="A8" s="59" t="inlineStr">
        <is>
          <t>AGM</t>
        </is>
      </c>
      <c r="B8" s="59" t="inlineStr">
        <is>
          <t>DP-CRF-5369</t>
        </is>
      </c>
      <c r="C8" s="49">
        <f>COUNTIF('Raw Data'!C$2:C$546,B8)</f>
        <v/>
      </c>
      <c r="D8" s="49">
        <f>COUNTIFS('Raw Data'!C$2:C$546,B8,'Raw Data'!L$2:L$546,"Available")+COUNTIFS('Raw Data'!C$2:C$546,B8,'Raw Data'!L$2:L$546,"Yes")</f>
        <v/>
      </c>
      <c r="E8" s="49">
        <f>C8-D8</f>
        <v/>
      </c>
      <c r="F8" s="50">
        <f>IF(C8&gt;0,D8/C8,0)</f>
        <v/>
      </c>
    </row>
    <row r="9" ht="14" customHeight="1">
      <c r="A9" s="58" t="inlineStr">
        <is>
          <t>AGM</t>
        </is>
      </c>
      <c r="B9" s="58" t="inlineStr">
        <is>
          <t>DP-CRF-7556 PLL</t>
        </is>
      </c>
      <c r="C9" s="45">
        <f>COUNTIF('Raw Data'!C$2:C$546,B9)</f>
        <v/>
      </c>
      <c r="D9" s="45">
        <f>COUNTIFS('Raw Data'!C$2:C$546,B9,'Raw Data'!L$2:L$546,"Available")+COUNTIFS('Raw Data'!C$2:C$546,B9,'Raw Data'!L$2:L$546,"Yes")</f>
        <v/>
      </c>
      <c r="E9" s="45">
        <f>C9-D9</f>
        <v/>
      </c>
      <c r="F9" s="46">
        <f>IF(C9&gt;0,D9/C9,0)</f>
        <v/>
      </c>
    </row>
    <row r="10" ht="14" customHeight="1">
      <c r="A10" s="59" t="inlineStr">
        <is>
          <t>AGM</t>
        </is>
      </c>
      <c r="B10" s="59" t="inlineStr">
        <is>
          <t>DP-ESM-1073-6333-HF-RPE</t>
        </is>
      </c>
      <c r="C10" s="49">
        <f>COUNTIF('Raw Data'!C$2:C$546,B10)</f>
        <v/>
      </c>
      <c r="D10" s="49">
        <f>COUNTIFS('Raw Data'!C$2:C$546,B10,'Raw Data'!L$2:L$546,"Available")+COUNTIFS('Raw Data'!C$2:C$546,B10,'Raw Data'!L$2:L$546,"Yes")</f>
        <v/>
      </c>
      <c r="E10" s="49">
        <f>C10-D10</f>
        <v/>
      </c>
      <c r="F10" s="50">
        <f>IF(C10&gt;0,D10/C10,0)</f>
        <v/>
      </c>
    </row>
    <row r="11" ht="14" customHeight="1">
      <c r="A11" s="58" t="inlineStr">
        <is>
          <t>AGM</t>
        </is>
      </c>
      <c r="B11" s="58" t="inlineStr">
        <is>
          <t>DP-ESM-1074-6000-VUSHF-RPE</t>
        </is>
      </c>
      <c r="C11" s="45">
        <f>COUNTIF('Raw Data'!C$2:C$546,B11)</f>
        <v/>
      </c>
      <c r="D11" s="45">
        <f>COUNTIFS('Raw Data'!C$2:C$546,B11,'Raw Data'!L$2:L$546,"Available")+COUNTIFS('Raw Data'!C$2:C$546,B11,'Raw Data'!L$2:L$546,"Yes")</f>
        <v/>
      </c>
      <c r="E11" s="45">
        <f>C11-D11</f>
        <v/>
      </c>
      <c r="F11" s="46">
        <f>IF(C11&gt;0,D11/C11,0)</f>
        <v/>
      </c>
    </row>
    <row r="12" ht="14" customHeight="1">
      <c r="A12" s="59" t="inlineStr">
        <is>
          <t>AGM</t>
        </is>
      </c>
      <c r="B12" s="59" t="inlineStr">
        <is>
          <t>DP-ESM-1095-600-AIDF</t>
        </is>
      </c>
      <c r="C12" s="49">
        <f>COUNTIF('Raw Data'!C$2:C$546,B12)</f>
        <v/>
      </c>
      <c r="D12" s="49">
        <f>COUNTIFS('Raw Data'!C$2:C$546,B12,'Raw Data'!L$2:L$546,"Available")+COUNTIFS('Raw Data'!C$2:C$546,B12,'Raw Data'!L$2:L$546,"Yes")</f>
        <v/>
      </c>
      <c r="E12" s="49">
        <f>C12-D12</f>
        <v/>
      </c>
      <c r="F12" s="50">
        <f>IF(C12&gt;0,D12/C12,0)</f>
        <v/>
      </c>
    </row>
    <row r="13" ht="14" customHeight="1">
      <c r="A13" s="58" t="inlineStr">
        <is>
          <t>AGM</t>
        </is>
      </c>
      <c r="B13" s="58" t="inlineStr">
        <is>
          <t>DP-ESM-1095-603-MIDF</t>
        </is>
      </c>
      <c r="C13" s="45">
        <f>COUNTIF('Raw Data'!C$2:C$546,B13)</f>
        <v/>
      </c>
      <c r="D13" s="45">
        <f>COUNTIFS('Raw Data'!C$2:C$546,B13,'Raw Data'!L$2:L$546,"Available")+COUNTIFS('Raw Data'!C$2:C$546,B13,'Raw Data'!L$2:L$546,"Yes")</f>
        <v/>
      </c>
      <c r="E13" s="45">
        <f>C13-D13</f>
        <v/>
      </c>
      <c r="F13" s="46">
        <f>IF(C13&gt;0,D13/C13,0)</f>
        <v/>
      </c>
    </row>
    <row r="14" ht="14" customHeight="1">
      <c r="A14" s="59" t="inlineStr">
        <is>
          <t>AGM</t>
        </is>
      </c>
      <c r="B14" s="59" t="inlineStr">
        <is>
          <t>DP-ESM-1098-600-CFDF</t>
        </is>
      </c>
      <c r="C14" s="49">
        <f>COUNTIF('Raw Data'!C$2:C$546,B14)</f>
        <v/>
      </c>
      <c r="D14" s="49">
        <f>COUNTIFS('Raw Data'!C$2:C$546,B14,'Raw Data'!L$2:L$546,"Available")+COUNTIFS('Raw Data'!C$2:C$546,B14,'Raw Data'!L$2:L$546,"Yes")</f>
        <v/>
      </c>
      <c r="E14" s="49">
        <f>C14-D14</f>
        <v/>
      </c>
      <c r="F14" s="50">
        <f>IF(C14&gt;0,D14/C14,0)</f>
        <v/>
      </c>
    </row>
    <row r="15" ht="14" customHeight="1">
      <c r="A15" s="58" t="inlineStr">
        <is>
          <t>AGM</t>
        </is>
      </c>
      <c r="B15" s="58" t="inlineStr">
        <is>
          <t>DP-ESM-1098-603-MRA</t>
        </is>
      </c>
      <c r="C15" s="45">
        <f>COUNTIF('Raw Data'!C$2:C$546,B15)</f>
        <v/>
      </c>
      <c r="D15" s="45">
        <f>COUNTIFS('Raw Data'!C$2:C$546,B15,'Raw Data'!L$2:L$546,"Available")+COUNTIFS('Raw Data'!C$2:C$546,B15,'Raw Data'!L$2:L$546,"Yes")</f>
        <v/>
      </c>
      <c r="E15" s="45">
        <f>C15-D15</f>
        <v/>
      </c>
      <c r="F15" s="46">
        <f>IF(C15&gt;0,D15/C15,0)</f>
        <v/>
      </c>
    </row>
    <row r="16" ht="14" customHeight="1">
      <c r="A16" s="59" t="inlineStr">
        <is>
          <t>AGM</t>
        </is>
      </c>
      <c r="B16" s="59" t="inlineStr">
        <is>
          <t>DP-ESM-1212-6033-VUSHF-Mrx</t>
        </is>
      </c>
      <c r="C16" s="49">
        <f>COUNTIF('Raw Data'!C$2:C$546,B16)</f>
        <v/>
      </c>
      <c r="D16" s="49">
        <f>COUNTIFS('Raw Data'!C$2:C$546,B16,'Raw Data'!L$2:L$546,"Available")+COUNTIFS('Raw Data'!C$2:C$546,B16,'Raw Data'!L$2:L$546,"Yes")</f>
        <v/>
      </c>
      <c r="E16" s="49">
        <f>C16-D16</f>
        <v/>
      </c>
      <c r="F16" s="50">
        <f>IF(C16&gt;0,D16/C16,0)</f>
        <v/>
      </c>
    </row>
    <row r="17" ht="14" customHeight="1">
      <c r="A17" s="58" t="inlineStr">
        <is>
          <t>AGM</t>
        </is>
      </c>
      <c r="B17" s="58" t="inlineStr">
        <is>
          <t>DP-EW-8002-630</t>
        </is>
      </c>
      <c r="C17" s="45">
        <f>COUNTIF('Raw Data'!C$2:C$546,B17)</f>
        <v/>
      </c>
      <c r="D17" s="45">
        <f>COUNTIFS('Raw Data'!C$2:C$546,B17,'Raw Data'!L$2:L$546,"Available")+COUNTIFS('Raw Data'!C$2:C$546,B17,'Raw Data'!L$2:L$546,"Yes")</f>
        <v/>
      </c>
      <c r="E17" s="45">
        <f>C17-D17</f>
        <v/>
      </c>
      <c r="F17" s="46">
        <f>IF(C17&gt;0,D17/C17,0)</f>
        <v/>
      </c>
    </row>
    <row r="18" ht="14" customHeight="1">
      <c r="A18" s="59" t="inlineStr">
        <is>
          <t>AGM</t>
        </is>
      </c>
      <c r="B18" s="59" t="inlineStr">
        <is>
          <t>DP-EW-8002-699</t>
        </is>
      </c>
      <c r="C18" s="49">
        <f>COUNTIF('Raw Data'!C$2:C$546,B18)</f>
        <v/>
      </c>
      <c r="D18" s="49">
        <f>COUNTIFS('Raw Data'!C$2:C$546,B18,'Raw Data'!L$2:L$546,"Available")+COUNTIFS('Raw Data'!C$2:C$546,B18,'Raw Data'!L$2:L$546,"Yes")</f>
        <v/>
      </c>
      <c r="E18" s="49">
        <f>C18-D18</f>
        <v/>
      </c>
      <c r="F18" s="50">
        <f>IF(C18&gt;0,D18/C18,0)</f>
        <v/>
      </c>
    </row>
    <row r="19" ht="14" customHeight="1">
      <c r="A19" s="58" t="inlineStr">
        <is>
          <t>AGM</t>
        </is>
      </c>
      <c r="B19" s="58" t="inlineStr">
        <is>
          <t>DP-PSU-7357</t>
        </is>
      </c>
      <c r="C19" s="45">
        <f>COUNTIF('Raw Data'!C$2:C$546,B19)</f>
        <v/>
      </c>
      <c r="D19" s="45">
        <f>COUNTIFS('Raw Data'!C$2:C$546,B19,'Raw Data'!L$2:L$546,"Available")+COUNTIFS('Raw Data'!C$2:C$546,B19,'Raw Data'!L$2:L$546,"Yes")</f>
        <v/>
      </c>
      <c r="E19" s="45">
        <f>C19-D19</f>
        <v/>
      </c>
      <c r="F19" s="46">
        <f>IF(C19&gt;0,D19/C19,0)</f>
        <v/>
      </c>
    </row>
    <row r="20" ht="14" customHeight="1">
      <c r="A20" s="59" t="inlineStr">
        <is>
          <t>AGM</t>
        </is>
      </c>
      <c r="B20" s="59" t="inlineStr">
        <is>
          <t>DP-PSU-8287</t>
        </is>
      </c>
      <c r="C20" s="49">
        <f>COUNTIF('Raw Data'!C$2:C$546,B20)</f>
        <v/>
      </c>
      <c r="D20" s="49">
        <f>COUNTIFS('Raw Data'!C$2:C$546,B20,'Raw Data'!L$2:L$546,"Available")+COUNTIFS('Raw Data'!C$2:C$546,B20,'Raw Data'!L$2:L$546,"Yes")</f>
        <v/>
      </c>
      <c r="E20" s="49">
        <f>C20-D20</f>
        <v/>
      </c>
      <c r="F20" s="50">
        <f>IF(C20&gt;0,D20/C20,0)</f>
        <v/>
      </c>
    </row>
    <row r="21" ht="14" customHeight="1">
      <c r="A21" s="58" t="inlineStr">
        <is>
          <t>AGM</t>
        </is>
      </c>
      <c r="B21" s="58" t="inlineStr">
        <is>
          <t>DP-RDR-8314</t>
        </is>
      </c>
      <c r="C21" s="45">
        <f>COUNTIF('Raw Data'!C$2:C$546,B21)</f>
        <v/>
      </c>
      <c r="D21" s="45">
        <f>COUNTIFS('Raw Data'!C$2:C$546,B21,'Raw Data'!L$2:L$546,"Available")+COUNTIFS('Raw Data'!C$2:C$546,B21,'Raw Data'!L$2:L$546,"Yes")</f>
        <v/>
      </c>
      <c r="E21" s="45">
        <f>C21-D21</f>
        <v/>
      </c>
      <c r="F21" s="46">
        <f>IF(C21&gt;0,D21/C21,0)</f>
        <v/>
      </c>
    </row>
    <row r="22" ht="14" customHeight="1">
      <c r="A22" s="59" t="inlineStr">
        <is>
          <t>AGM</t>
        </is>
      </c>
      <c r="B22" s="59" t="inlineStr">
        <is>
          <t>DP-ROM-8036</t>
        </is>
      </c>
      <c r="C22" s="49">
        <f>COUNTIF('Raw Data'!C$2:C$546,B22)</f>
        <v/>
      </c>
      <c r="D22" s="49">
        <f>COUNTIFS('Raw Data'!C$2:C$546,B22,'Raw Data'!L$2:L$546,"Available")+COUNTIFS('Raw Data'!C$2:C$546,B22,'Raw Data'!L$2:L$546,"Yes")</f>
        <v/>
      </c>
      <c r="E22" s="49">
        <f>C22-D22</f>
        <v/>
      </c>
      <c r="F22" s="50">
        <f>IF(C22&gt;0,D22/C22,0)</f>
        <v/>
      </c>
    </row>
    <row r="23" ht="14" customHeight="1">
      <c r="A23" s="58" t="inlineStr">
        <is>
          <t>AGM</t>
        </is>
      </c>
      <c r="B23" s="58" t="inlineStr">
        <is>
          <t>DP-SPL-4003</t>
        </is>
      </c>
      <c r="C23" s="45">
        <f>COUNTIF('Raw Data'!C$2:C$546,B23)</f>
        <v/>
      </c>
      <c r="D23" s="45">
        <f>COUNTIFS('Raw Data'!C$2:C$546,B23,'Raw Data'!L$2:L$546,"Available")+COUNTIFS('Raw Data'!C$2:C$546,B23,'Raw Data'!L$2:L$546,"Yes")</f>
        <v/>
      </c>
      <c r="E23" s="45">
        <f>C23-D23</f>
        <v/>
      </c>
      <c r="F23" s="46">
        <f>IF(C23&gt;0,D23/C23,0)</f>
        <v/>
      </c>
    </row>
    <row r="24" ht="14" customHeight="1">
      <c r="A24" s="59" t="inlineStr">
        <is>
          <t>AGM</t>
        </is>
      </c>
      <c r="B24" s="59" t="inlineStr">
        <is>
          <t>DP-SPL-5452</t>
        </is>
      </c>
      <c r="C24" s="49">
        <f>COUNTIF('Raw Data'!C$2:C$546,B24)</f>
        <v/>
      </c>
      <c r="D24" s="49">
        <f>COUNTIFS('Raw Data'!C$2:C$546,B24,'Raw Data'!L$2:L$546,"Available")+COUNTIFS('Raw Data'!C$2:C$546,B24,'Raw Data'!L$2:L$546,"Yes")</f>
        <v/>
      </c>
      <c r="E24" s="49">
        <f>C24-D24</f>
        <v/>
      </c>
      <c r="F24" s="50">
        <f>IF(C24&gt;0,D24/C24,0)</f>
        <v/>
      </c>
    </row>
    <row r="25" ht="14" customHeight="1">
      <c r="A25" s="58" t="inlineStr">
        <is>
          <t>AGM</t>
        </is>
      </c>
      <c r="B25" s="58" t="inlineStr">
        <is>
          <t>DP-SPL-6735</t>
        </is>
      </c>
      <c r="C25" s="45">
        <f>COUNTIF('Raw Data'!C$2:C$546,B25)</f>
        <v/>
      </c>
      <c r="D25" s="45">
        <f>COUNTIFS('Raw Data'!C$2:C$546,B25,'Raw Data'!L$2:L$546,"Available")+COUNTIFS('Raw Data'!C$2:C$546,B25,'Raw Data'!L$2:L$546,"Yes")</f>
        <v/>
      </c>
      <c r="E25" s="45">
        <f>C25-D25</f>
        <v/>
      </c>
      <c r="F25" s="46">
        <f>IF(C25&gt;0,D25/C25,0)</f>
        <v/>
      </c>
    </row>
    <row r="26" ht="14" customHeight="1">
      <c r="A26" s="59" t="inlineStr">
        <is>
          <t>AGM</t>
        </is>
      </c>
      <c r="B26" s="59" t="inlineStr">
        <is>
          <t>DP-SPL-7123</t>
        </is>
      </c>
      <c r="C26" s="49">
        <f>COUNTIF('Raw Data'!C$2:C$546,B26)</f>
        <v/>
      </c>
      <c r="D26" s="49">
        <f>COUNTIFS('Raw Data'!C$2:C$546,B26,'Raw Data'!L$2:L$546,"Available")+COUNTIFS('Raw Data'!C$2:C$546,B26,'Raw Data'!L$2:L$546,"Yes")</f>
        <v/>
      </c>
      <c r="E26" s="49">
        <f>C26-D26</f>
        <v/>
      </c>
      <c r="F26" s="50">
        <f>IF(C26&gt;0,D26/C26,0)</f>
        <v/>
      </c>
    </row>
    <row r="27" ht="14" customHeight="1">
      <c r="A27" s="58" t="inlineStr">
        <is>
          <t>AGM</t>
        </is>
      </c>
      <c r="B27" s="58" t="inlineStr">
        <is>
          <t>DP-SPL-7183</t>
        </is>
      </c>
      <c r="C27" s="45">
        <f>COUNTIF('Raw Data'!C$2:C$546,B27)</f>
        <v/>
      </c>
      <c r="D27" s="45">
        <f>COUNTIFS('Raw Data'!C$2:C$546,B27,'Raw Data'!L$2:L$546,"Available")+COUNTIFS('Raw Data'!C$2:C$546,B27,'Raw Data'!L$2:L$546,"Yes")</f>
        <v/>
      </c>
      <c r="E27" s="45">
        <f>C27-D27</f>
        <v/>
      </c>
      <c r="F27" s="46">
        <f>IF(C27&gt;0,D27/C27,0)</f>
        <v/>
      </c>
    </row>
    <row r="28" ht="14" customHeight="1">
      <c r="A28" s="59" t="inlineStr">
        <is>
          <t>AGM</t>
        </is>
      </c>
      <c r="B28" s="59" t="inlineStr">
        <is>
          <t>DP-SPL-7306</t>
        </is>
      </c>
      <c r="C28" s="49">
        <f>COUNTIF('Raw Data'!C$2:C$546,B28)</f>
        <v/>
      </c>
      <c r="D28" s="49">
        <f>COUNTIFS('Raw Data'!C$2:C$546,B28,'Raw Data'!L$2:L$546,"Available")+COUNTIFS('Raw Data'!C$2:C$546,B28,'Raw Data'!L$2:L$546,"Yes")</f>
        <v/>
      </c>
      <c r="E28" s="49">
        <f>C28-D28</f>
        <v/>
      </c>
      <c r="F28" s="50">
        <f>IF(C28&gt;0,D28/C28,0)</f>
        <v/>
      </c>
    </row>
    <row r="29" ht="14" customHeight="1">
      <c r="A29" s="58" t="inlineStr">
        <is>
          <t>AGM</t>
        </is>
      </c>
      <c r="B29" s="58" t="inlineStr">
        <is>
          <t>DP-TRM-8030</t>
        </is>
      </c>
      <c r="C29" s="45">
        <f>COUNTIF('Raw Data'!C$2:C$546,B29)</f>
        <v/>
      </c>
      <c r="D29" s="45">
        <f>COUNTIFS('Raw Data'!C$2:C$546,B29,'Raw Data'!L$2:L$546,"Available")+COUNTIFS('Raw Data'!C$2:C$546,B29,'Raw Data'!L$2:L$546,"Yes")</f>
        <v/>
      </c>
      <c r="E29" s="45">
        <f>C29-D29</f>
        <v/>
      </c>
      <c r="F29" s="46">
        <f>IF(C29&gt;0,D29/C29,0)</f>
        <v/>
      </c>
    </row>
    <row r="30" ht="14" customHeight="1">
      <c r="A30" s="59" t="inlineStr">
        <is>
          <t>AGM</t>
        </is>
      </c>
      <c r="B30" s="59" t="inlineStr">
        <is>
          <t>DP-VPX-3611</t>
        </is>
      </c>
      <c r="C30" s="49">
        <f>COUNTIF('Raw Data'!C$2:C$546,B30)</f>
        <v/>
      </c>
      <c r="D30" s="49">
        <f>COUNTIFS('Raw Data'!C$2:C$546,B30,'Raw Data'!L$2:L$546,"Available")+COUNTIFS('Raw Data'!C$2:C$546,B30,'Raw Data'!L$2:L$546,"Yes")</f>
        <v/>
      </c>
      <c r="E30" s="49">
        <f>C30-D30</f>
        <v/>
      </c>
      <c r="F30" s="50">
        <f>IF(C30&gt;0,D30/C30,0)</f>
        <v/>
      </c>
    </row>
    <row r="31" ht="14" customHeight="1">
      <c r="A31" s="58" t="inlineStr">
        <is>
          <t>AGM</t>
        </is>
      </c>
      <c r="B31" s="58" t="inlineStr">
        <is>
          <t>IT-SPL-5000</t>
        </is>
      </c>
      <c r="C31" s="45">
        <f>COUNTIF('Raw Data'!C$2:C$546,B31)</f>
        <v/>
      </c>
      <c r="D31" s="45">
        <f>COUNTIFS('Raw Data'!C$2:C$546,B31,'Raw Data'!L$2:L$546,"Available")+COUNTIFS('Raw Data'!C$2:C$546,B31,'Raw Data'!L$2:L$546,"Yes")</f>
        <v/>
      </c>
      <c r="E31" s="45">
        <f>C31-D31</f>
        <v/>
      </c>
      <c r="F31" s="46">
        <f>IF(C31&gt;0,D31/C31,0)</f>
        <v/>
      </c>
    </row>
    <row r="32" ht="14" customHeight="1">
      <c r="A32" s="59" t="inlineStr">
        <is>
          <t>AGM</t>
        </is>
      </c>
      <c r="B32" s="59" t="inlineStr">
        <is>
          <t>IT-SPL-5003</t>
        </is>
      </c>
      <c r="C32" s="49">
        <f>COUNTIF('Raw Data'!C$2:C$546,B32)</f>
        <v/>
      </c>
      <c r="D32" s="49">
        <f>COUNTIFS('Raw Data'!C$2:C$546,B32,'Raw Data'!L$2:L$546,"Available")+COUNTIFS('Raw Data'!C$2:C$546,B32,'Raw Data'!L$2:L$546,"Yes")</f>
        <v/>
      </c>
      <c r="E32" s="49">
        <f>C32-D32</f>
        <v/>
      </c>
      <c r="F32" s="50">
        <f>IF(C32&gt;0,D32/C32,0)</f>
        <v/>
      </c>
    </row>
    <row r="33" ht="14" customHeight="1">
      <c r="A33" s="58" t="inlineStr">
        <is>
          <t>Application</t>
        </is>
      </c>
      <c r="B33" s="58" t="inlineStr">
        <is>
          <t>Configuration Definer</t>
        </is>
      </c>
      <c r="C33" s="45">
        <f>COUNTIF('Raw Data'!C$2:C$546,B33)</f>
        <v/>
      </c>
      <c r="D33" s="45">
        <f>COUNTIFS('Raw Data'!C$2:C$546,B33,'Raw Data'!L$2:L$546,"Available")+COUNTIFS('Raw Data'!C$2:C$546,B33,'Raw Data'!L$2:L$546,"Yes")</f>
        <v/>
      </c>
      <c r="E33" s="45">
        <f>C33-D33</f>
        <v/>
      </c>
      <c r="F33" s="46">
        <f>IF(C33&gt;0,D33/C33,0)</f>
        <v/>
      </c>
    </row>
    <row r="34" ht="14" customHeight="1">
      <c r="A34" s="59" t="inlineStr">
        <is>
          <t>Application</t>
        </is>
      </c>
      <c r="B34" s="59" t="inlineStr">
        <is>
          <t>DMM Automation</t>
        </is>
      </c>
      <c r="C34" s="49">
        <f>COUNTIF('Raw Data'!C$2:C$546,B34)</f>
        <v/>
      </c>
      <c r="D34" s="49">
        <f>COUNTIFS('Raw Data'!C$2:C$546,B34,'Raw Data'!L$2:L$546,"Available")+COUNTIFS('Raw Data'!C$2:C$546,B34,'Raw Data'!L$2:L$546,"Yes")</f>
        <v/>
      </c>
      <c r="E34" s="49">
        <f>C34-D34</f>
        <v/>
      </c>
      <c r="F34" s="50">
        <f>IF(C34&gt;0,D34/C34,0)</f>
        <v/>
      </c>
    </row>
    <row r="35" ht="14" customHeight="1">
      <c r="A35" s="58" t="inlineStr">
        <is>
          <t>Application</t>
        </is>
      </c>
      <c r="B35" s="58" t="inlineStr">
        <is>
          <t>DP-ANT-7094</t>
        </is>
      </c>
      <c r="C35" s="45">
        <f>COUNTIF('Raw Data'!C$2:C$546,B35)</f>
        <v/>
      </c>
      <c r="D35" s="45">
        <f>COUNTIFS('Raw Data'!C$2:C$546,B35,'Raw Data'!L$2:L$546,"Available")+COUNTIFS('Raw Data'!C$2:C$546,B35,'Raw Data'!L$2:L$546,"Yes")</f>
        <v/>
      </c>
      <c r="E35" s="45">
        <f>C35-D35</f>
        <v/>
      </c>
      <c r="F35" s="46">
        <f>IF(C35&gt;0,D35/C35,0)</f>
        <v/>
      </c>
    </row>
    <row r="36" ht="14" customHeight="1">
      <c r="A36" s="59" t="inlineStr">
        <is>
          <t>Application</t>
        </is>
      </c>
      <c r="B36" s="59" t="inlineStr">
        <is>
          <t>DP-ATE-8210</t>
        </is>
      </c>
      <c r="C36" s="49">
        <f>COUNTIF('Raw Data'!C$2:C$546,B36)</f>
        <v/>
      </c>
      <c r="D36" s="49">
        <f>COUNTIFS('Raw Data'!C$2:C$546,B36,'Raw Data'!L$2:L$546,"Available")+COUNTIFS('Raw Data'!C$2:C$546,B36,'Raw Data'!L$2:L$546,"Yes")</f>
        <v/>
      </c>
      <c r="E36" s="49">
        <f>C36-D36</f>
        <v/>
      </c>
      <c r="F36" s="50">
        <f>IF(C36&gt;0,D36/C36,0)</f>
        <v/>
      </c>
    </row>
    <row r="37" ht="14" customHeight="1">
      <c r="A37" s="58" t="inlineStr">
        <is>
          <t>Application</t>
        </is>
      </c>
      <c r="B37" s="58" t="inlineStr">
        <is>
          <t>DP-ATE-8420</t>
        </is>
      </c>
      <c r="C37" s="45">
        <f>COUNTIF('Raw Data'!C$2:C$546,B37)</f>
        <v/>
      </c>
      <c r="D37" s="45">
        <f>COUNTIFS('Raw Data'!C$2:C$546,B37,'Raw Data'!L$2:L$546,"Available")+COUNTIFS('Raw Data'!C$2:C$546,B37,'Raw Data'!L$2:L$546,"Yes")</f>
        <v/>
      </c>
      <c r="E37" s="45">
        <f>C37-D37</f>
        <v/>
      </c>
      <c r="F37" s="46">
        <f>IF(C37&gt;0,D37/C37,0)</f>
        <v/>
      </c>
    </row>
    <row r="38" ht="14" customHeight="1">
      <c r="A38" s="59" t="inlineStr">
        <is>
          <t>Application</t>
        </is>
      </c>
      <c r="B38" s="59" t="inlineStr">
        <is>
          <t>DP-ATE-8423</t>
        </is>
      </c>
      <c r="C38" s="49">
        <f>COUNTIF('Raw Data'!C$2:C$546,B38)</f>
        <v/>
      </c>
      <c r="D38" s="49">
        <f>COUNTIFS('Raw Data'!C$2:C$546,B38,'Raw Data'!L$2:L$546,"Available")+COUNTIFS('Raw Data'!C$2:C$546,B38,'Raw Data'!L$2:L$546,"Yes")</f>
        <v/>
      </c>
      <c r="E38" s="49">
        <f>C38-D38</f>
        <v/>
      </c>
      <c r="F38" s="50">
        <f>IF(C38&gt;0,D38/C38,0)</f>
        <v/>
      </c>
    </row>
    <row r="39" ht="14" customHeight="1">
      <c r="A39" s="58" t="inlineStr">
        <is>
          <t>Application</t>
        </is>
      </c>
      <c r="B39" s="58" t="inlineStr">
        <is>
          <t>DP-ATE-8456</t>
        </is>
      </c>
      <c r="C39" s="45">
        <f>COUNTIF('Raw Data'!C$2:C$546,B39)</f>
        <v/>
      </c>
      <c r="D39" s="45">
        <f>COUNTIFS('Raw Data'!C$2:C$546,B39,'Raw Data'!L$2:L$546,"Available")+COUNTIFS('Raw Data'!C$2:C$546,B39,'Raw Data'!L$2:L$546,"Yes")</f>
        <v/>
      </c>
      <c r="E39" s="45">
        <f>C39-D39</f>
        <v/>
      </c>
      <c r="F39" s="46">
        <f>IF(C39&gt;0,D39/C39,0)</f>
        <v/>
      </c>
    </row>
    <row r="40" ht="14" customHeight="1">
      <c r="A40" s="59" t="inlineStr">
        <is>
          <t>Application</t>
        </is>
      </c>
      <c r="B40" s="59" t="inlineStr">
        <is>
          <t>DP-ATE-8483</t>
        </is>
      </c>
      <c r="C40" s="49">
        <f>COUNTIF('Raw Data'!C$2:C$546,B40)</f>
        <v/>
      </c>
      <c r="D40" s="49">
        <f>COUNTIFS('Raw Data'!C$2:C$546,B40,'Raw Data'!L$2:L$546,"Available")+COUNTIFS('Raw Data'!C$2:C$546,B40,'Raw Data'!L$2:L$546,"Yes")</f>
        <v/>
      </c>
      <c r="E40" s="49">
        <f>C40-D40</f>
        <v/>
      </c>
      <c r="F40" s="50">
        <f>IF(C40&gt;0,D40/C40,0)</f>
        <v/>
      </c>
    </row>
    <row r="41" ht="14" customHeight="1">
      <c r="A41" s="58" t="inlineStr">
        <is>
          <t>Application</t>
        </is>
      </c>
      <c r="B41" s="58" t="inlineStr">
        <is>
          <t>DP-ATE-8489</t>
        </is>
      </c>
      <c r="C41" s="45">
        <f>COUNTIF('Raw Data'!C$2:C$546,B41)</f>
        <v/>
      </c>
      <c r="D41" s="45">
        <f>COUNTIFS('Raw Data'!C$2:C$546,B41,'Raw Data'!L$2:L$546,"Available")+COUNTIFS('Raw Data'!C$2:C$546,B41,'Raw Data'!L$2:L$546,"Yes")</f>
        <v/>
      </c>
      <c r="E41" s="45">
        <f>C41-D41</f>
        <v/>
      </c>
      <c r="F41" s="46">
        <f>IF(C41&gt;0,D41/C41,0)</f>
        <v/>
      </c>
    </row>
    <row r="42" ht="14" customHeight="1">
      <c r="A42" s="59" t="inlineStr">
        <is>
          <t>Application</t>
        </is>
      </c>
      <c r="B42" s="59" t="inlineStr">
        <is>
          <t>DP-ATE-8498</t>
        </is>
      </c>
      <c r="C42" s="49">
        <f>COUNTIF('Raw Data'!C$2:C$546,B42)</f>
        <v/>
      </c>
      <c r="D42" s="49">
        <f>COUNTIFS('Raw Data'!C$2:C$546,B42,'Raw Data'!L$2:L$546,"Available")+COUNTIFS('Raw Data'!C$2:C$546,B42,'Raw Data'!L$2:L$546,"Yes")</f>
        <v/>
      </c>
      <c r="E42" s="49">
        <f>C42-D42</f>
        <v/>
      </c>
      <c r="F42" s="50">
        <f>IF(C42&gt;0,D42/C42,0)</f>
        <v/>
      </c>
    </row>
    <row r="43" ht="14" customHeight="1">
      <c r="A43" s="58" t="inlineStr">
        <is>
          <t>Application</t>
        </is>
      </c>
      <c r="B43" s="58" t="inlineStr">
        <is>
          <t>DP-BFU-8002</t>
        </is>
      </c>
      <c r="C43" s="45">
        <f>COUNTIF('Raw Data'!C$2:C$546,B43)</f>
        <v/>
      </c>
      <c r="D43" s="45">
        <f>COUNTIFS('Raw Data'!C$2:C$546,B43,'Raw Data'!L$2:L$546,"Available")+COUNTIFS('Raw Data'!C$2:C$546,B43,'Raw Data'!L$2:L$546,"Yes")</f>
        <v/>
      </c>
      <c r="E43" s="45">
        <f>C43-D43</f>
        <v/>
      </c>
      <c r="F43" s="46">
        <f>IF(C43&gt;0,D43/C43,0)</f>
        <v/>
      </c>
    </row>
    <row r="44" ht="14" customHeight="1">
      <c r="A44" s="59" t="inlineStr">
        <is>
          <t>Application</t>
        </is>
      </c>
      <c r="B44" s="59" t="inlineStr">
        <is>
          <t>DP-CHT-003-3960384</t>
        </is>
      </c>
      <c r="C44" s="49">
        <f>COUNTIF('Raw Data'!C$2:C$546,B44)</f>
        <v/>
      </c>
      <c r="D44" s="49">
        <f>COUNTIFS('Raw Data'!C$2:C$546,B44,'Raw Data'!L$2:L$546,"Available")+COUNTIFS('Raw Data'!C$2:C$546,B44,'Raw Data'!L$2:L$546,"Yes")</f>
        <v/>
      </c>
      <c r="E44" s="49">
        <f>C44-D44</f>
        <v/>
      </c>
      <c r="F44" s="50">
        <f>IF(C44&gt;0,D44/C44,0)</f>
        <v/>
      </c>
    </row>
    <row r="45" ht="14" customHeight="1">
      <c r="A45" s="58" t="inlineStr">
        <is>
          <t>Application</t>
        </is>
      </c>
      <c r="B45" s="58" t="inlineStr">
        <is>
          <t>DP-COMM-8037</t>
        </is>
      </c>
      <c r="C45" s="45">
        <f>COUNTIF('Raw Data'!C$2:C$546,B45)</f>
        <v/>
      </c>
      <c r="D45" s="45">
        <f>COUNTIFS('Raw Data'!C$2:C$546,B45,'Raw Data'!L$2:L$546,"Available")+COUNTIFS('Raw Data'!C$2:C$546,B45,'Raw Data'!L$2:L$546,"Yes")</f>
        <v/>
      </c>
      <c r="E45" s="45">
        <f>C45-D45</f>
        <v/>
      </c>
      <c r="F45" s="46">
        <f>IF(C45&gt;0,D45/C45,0)</f>
        <v/>
      </c>
    </row>
    <row r="46" ht="14" customHeight="1">
      <c r="A46" s="59" t="inlineStr">
        <is>
          <t>Application</t>
        </is>
      </c>
      <c r="B46" s="59" t="inlineStr">
        <is>
          <t>DP-CRF-0512</t>
        </is>
      </c>
      <c r="C46" s="49">
        <f>COUNTIF('Raw Data'!C$2:C$546,B46)</f>
        <v/>
      </c>
      <c r="D46" s="49">
        <f>COUNTIFS('Raw Data'!C$2:C$546,B46,'Raw Data'!L$2:L$546,"Available")+COUNTIFS('Raw Data'!C$2:C$546,B46,'Raw Data'!L$2:L$546,"Yes")</f>
        <v/>
      </c>
      <c r="E46" s="49">
        <f>C46-D46</f>
        <v/>
      </c>
      <c r="F46" s="50">
        <f>IF(C46&gt;0,D46/C46,0)</f>
        <v/>
      </c>
    </row>
    <row r="47" ht="14" customHeight="1">
      <c r="A47" s="58" t="inlineStr">
        <is>
          <t>Application</t>
        </is>
      </c>
      <c r="B47" s="58" t="inlineStr">
        <is>
          <t>DP-CRF-5273</t>
        </is>
      </c>
      <c r="C47" s="45">
        <f>COUNTIF('Raw Data'!C$2:C$546,B47)</f>
        <v/>
      </c>
      <c r="D47" s="45">
        <f>COUNTIFS('Raw Data'!C$2:C$546,B47,'Raw Data'!L$2:L$546,"Available")+COUNTIFS('Raw Data'!C$2:C$546,B47,'Raw Data'!L$2:L$546,"Yes")</f>
        <v/>
      </c>
      <c r="E47" s="45">
        <f>C47-D47</f>
        <v/>
      </c>
      <c r="F47" s="46">
        <f>IF(C47&gt;0,D47/C47,0)</f>
        <v/>
      </c>
    </row>
    <row r="48" ht="14" customHeight="1">
      <c r="A48" s="59" t="inlineStr">
        <is>
          <t>Application</t>
        </is>
      </c>
      <c r="B48" s="59" t="inlineStr">
        <is>
          <t>DP-CRF-5325</t>
        </is>
      </c>
      <c r="C48" s="49">
        <f>COUNTIF('Raw Data'!C$2:C$546,B48)</f>
        <v/>
      </c>
      <c r="D48" s="49">
        <f>COUNTIFS('Raw Data'!C$2:C$546,B48,'Raw Data'!L$2:L$546,"Available")+COUNTIFS('Raw Data'!C$2:C$546,B48,'Raw Data'!L$2:L$546,"Yes")</f>
        <v/>
      </c>
      <c r="E48" s="49">
        <f>C48-D48</f>
        <v/>
      </c>
      <c r="F48" s="50">
        <f>IF(C48&gt;0,D48/C48,0)</f>
        <v/>
      </c>
    </row>
    <row r="49" ht="14" customHeight="1">
      <c r="A49" s="58" t="inlineStr">
        <is>
          <t>Application</t>
        </is>
      </c>
      <c r="B49" s="58" t="inlineStr">
        <is>
          <t>DP-CRF-5381</t>
        </is>
      </c>
      <c r="C49" s="45">
        <f>COUNTIF('Raw Data'!C$2:C$546,B49)</f>
        <v/>
      </c>
      <c r="D49" s="45">
        <f>COUNTIFS('Raw Data'!C$2:C$546,B49,'Raw Data'!L$2:L$546,"Available")+COUNTIFS('Raw Data'!C$2:C$546,B49,'Raw Data'!L$2:L$546,"Yes")</f>
        <v/>
      </c>
      <c r="E49" s="45">
        <f>C49-D49</f>
        <v/>
      </c>
      <c r="F49" s="46">
        <f>IF(C49&gt;0,D49/C49,0)</f>
        <v/>
      </c>
    </row>
    <row r="50" ht="14" customHeight="1">
      <c r="A50" s="59" t="inlineStr">
        <is>
          <t>Application</t>
        </is>
      </c>
      <c r="B50" s="59" t="inlineStr">
        <is>
          <t>DP-CRF-5384</t>
        </is>
      </c>
      <c r="C50" s="49">
        <f>COUNTIF('Raw Data'!C$2:C$546,B50)</f>
        <v/>
      </c>
      <c r="D50" s="49">
        <f>COUNTIFS('Raw Data'!C$2:C$546,B50,'Raw Data'!L$2:L$546,"Available")+COUNTIFS('Raw Data'!C$2:C$546,B50,'Raw Data'!L$2:L$546,"Yes")</f>
        <v/>
      </c>
      <c r="E50" s="49">
        <f>C50-D50</f>
        <v/>
      </c>
      <c r="F50" s="50">
        <f>IF(C50&gt;0,D50/C50,0)</f>
        <v/>
      </c>
    </row>
    <row r="51" ht="14" customHeight="1">
      <c r="A51" s="58" t="inlineStr">
        <is>
          <t>Application</t>
        </is>
      </c>
      <c r="B51" s="58" t="inlineStr">
        <is>
          <t>DP-CRF-6308</t>
        </is>
      </c>
      <c r="C51" s="45">
        <f>COUNTIF('Raw Data'!C$2:C$546,B51)</f>
        <v/>
      </c>
      <c r="D51" s="45">
        <f>COUNTIFS('Raw Data'!C$2:C$546,B51,'Raw Data'!L$2:L$546,"Available")+COUNTIFS('Raw Data'!C$2:C$546,B51,'Raw Data'!L$2:L$546,"Yes")</f>
        <v/>
      </c>
      <c r="E51" s="45">
        <f>C51-D51</f>
        <v/>
      </c>
      <c r="F51" s="46">
        <f>IF(C51&gt;0,D51/C51,0)</f>
        <v/>
      </c>
    </row>
    <row r="52" ht="14" customHeight="1">
      <c r="A52" s="59" t="inlineStr">
        <is>
          <t>Application</t>
        </is>
      </c>
      <c r="B52" s="59" t="inlineStr">
        <is>
          <t>DP-CRF-6398</t>
        </is>
      </c>
      <c r="C52" s="49">
        <f>COUNTIF('Raw Data'!C$2:C$546,B52)</f>
        <v/>
      </c>
      <c r="D52" s="49">
        <f>COUNTIFS('Raw Data'!C$2:C$546,B52,'Raw Data'!L$2:L$546,"Available")+COUNTIFS('Raw Data'!C$2:C$546,B52,'Raw Data'!L$2:L$546,"Yes")</f>
        <v/>
      </c>
      <c r="E52" s="49">
        <f>C52-D52</f>
        <v/>
      </c>
      <c r="F52" s="50">
        <f>IF(C52&gt;0,D52/C52,0)</f>
        <v/>
      </c>
    </row>
    <row r="53" ht="14" customHeight="1">
      <c r="A53" s="58" t="inlineStr">
        <is>
          <t>Application</t>
        </is>
      </c>
      <c r="B53" s="58" t="inlineStr">
        <is>
          <t>DP-CRF-6419</t>
        </is>
      </c>
      <c r="C53" s="45">
        <f>COUNTIF('Raw Data'!C$2:C$546,B53)</f>
        <v/>
      </c>
      <c r="D53" s="45">
        <f>COUNTIFS('Raw Data'!C$2:C$546,B53,'Raw Data'!L$2:L$546,"Available")+COUNTIFS('Raw Data'!C$2:C$546,B53,'Raw Data'!L$2:L$546,"Yes")</f>
        <v/>
      </c>
      <c r="E53" s="45">
        <f>C53-D53</f>
        <v/>
      </c>
      <c r="F53" s="46">
        <f>IF(C53&gt;0,D53/C53,0)</f>
        <v/>
      </c>
    </row>
    <row r="54" ht="14" customHeight="1">
      <c r="A54" s="59" t="inlineStr">
        <is>
          <t>Application</t>
        </is>
      </c>
      <c r="B54" s="59" t="inlineStr">
        <is>
          <t>DP-CRF-6654</t>
        </is>
      </c>
      <c r="C54" s="49">
        <f>COUNTIF('Raw Data'!C$2:C$546,B54)</f>
        <v/>
      </c>
      <c r="D54" s="49">
        <f>COUNTIFS('Raw Data'!C$2:C$546,B54,'Raw Data'!L$2:L$546,"Available")+COUNTIFS('Raw Data'!C$2:C$546,B54,'Raw Data'!L$2:L$546,"Yes")</f>
        <v/>
      </c>
      <c r="E54" s="49">
        <f>C54-D54</f>
        <v/>
      </c>
      <c r="F54" s="50">
        <f>IF(C54&gt;0,D54/C54,0)</f>
        <v/>
      </c>
    </row>
    <row r="55" ht="14" customHeight="1">
      <c r="A55" s="58" t="inlineStr">
        <is>
          <t>Application</t>
        </is>
      </c>
      <c r="B55" s="58" t="inlineStr">
        <is>
          <t>DP-CRF-7286</t>
        </is>
      </c>
      <c r="C55" s="45">
        <f>COUNTIF('Raw Data'!C$2:C$546,B55)</f>
        <v/>
      </c>
      <c r="D55" s="45">
        <f>COUNTIFS('Raw Data'!C$2:C$546,B55,'Raw Data'!L$2:L$546,"Available")+COUNTIFS('Raw Data'!C$2:C$546,B55,'Raw Data'!L$2:L$546,"Yes")</f>
        <v/>
      </c>
      <c r="E55" s="45">
        <f>C55-D55</f>
        <v/>
      </c>
      <c r="F55" s="46">
        <f>IF(C55&gt;0,D55/C55,0)</f>
        <v/>
      </c>
    </row>
    <row r="56" ht="14" customHeight="1">
      <c r="A56" s="59" t="inlineStr">
        <is>
          <t>Application</t>
        </is>
      </c>
      <c r="B56" s="59" t="inlineStr">
        <is>
          <t>DP-CRF-7289</t>
        </is>
      </c>
      <c r="C56" s="49">
        <f>COUNTIF('Raw Data'!C$2:C$546,B56)</f>
        <v/>
      </c>
      <c r="D56" s="49">
        <f>COUNTIFS('Raw Data'!C$2:C$546,B56,'Raw Data'!L$2:L$546,"Available")+COUNTIFS('Raw Data'!C$2:C$546,B56,'Raw Data'!L$2:L$546,"Yes")</f>
        <v/>
      </c>
      <c r="E56" s="49">
        <f>C56-D56</f>
        <v/>
      </c>
      <c r="F56" s="50">
        <f>IF(C56&gt;0,D56/C56,0)</f>
        <v/>
      </c>
    </row>
    <row r="57" ht="14" customHeight="1">
      <c r="A57" s="58" t="inlineStr">
        <is>
          <t>Application</t>
        </is>
      </c>
      <c r="B57" s="58" t="inlineStr">
        <is>
          <t>DP-CRF-7292</t>
        </is>
      </c>
      <c r="C57" s="45">
        <f>COUNTIF('Raw Data'!C$2:C$546,B57)</f>
        <v/>
      </c>
      <c r="D57" s="45">
        <f>COUNTIFS('Raw Data'!C$2:C$546,B57,'Raw Data'!L$2:L$546,"Available")+COUNTIFS('Raw Data'!C$2:C$546,B57,'Raw Data'!L$2:L$546,"Yes")</f>
        <v/>
      </c>
      <c r="E57" s="45">
        <f>C57-D57</f>
        <v/>
      </c>
      <c r="F57" s="46">
        <f>IF(C57&gt;0,D57/C57,0)</f>
        <v/>
      </c>
    </row>
    <row r="58" ht="14" customHeight="1">
      <c r="A58" s="59" t="inlineStr">
        <is>
          <t>Application</t>
        </is>
      </c>
      <c r="B58" s="59" t="inlineStr">
        <is>
          <t>DP-CRF-7316</t>
        </is>
      </c>
      <c r="C58" s="49">
        <f>COUNTIF('Raw Data'!C$2:C$546,B58)</f>
        <v/>
      </c>
      <c r="D58" s="49">
        <f>COUNTIFS('Raw Data'!C$2:C$546,B58,'Raw Data'!L$2:L$546,"Available")+COUNTIFS('Raw Data'!C$2:C$546,B58,'Raw Data'!L$2:L$546,"Yes")</f>
        <v/>
      </c>
      <c r="E58" s="49">
        <f>C58-D58</f>
        <v/>
      </c>
      <c r="F58" s="50">
        <f>IF(C58&gt;0,D58/C58,0)</f>
        <v/>
      </c>
    </row>
    <row r="59" ht="14" customHeight="1">
      <c r="A59" s="58" t="inlineStr">
        <is>
          <t>Application</t>
        </is>
      </c>
      <c r="B59" s="58" t="inlineStr">
        <is>
          <t>DP-CRF-7391</t>
        </is>
      </c>
      <c r="C59" s="45">
        <f>COUNTIF('Raw Data'!C$2:C$546,B59)</f>
        <v/>
      </c>
      <c r="D59" s="45">
        <f>COUNTIFS('Raw Data'!C$2:C$546,B59,'Raw Data'!L$2:L$546,"Available")+COUNTIFS('Raw Data'!C$2:C$546,B59,'Raw Data'!L$2:L$546,"Yes")</f>
        <v/>
      </c>
      <c r="E59" s="45">
        <f>C59-D59</f>
        <v/>
      </c>
      <c r="F59" s="46">
        <f>IF(C59&gt;0,D59/C59,0)</f>
        <v/>
      </c>
    </row>
    <row r="60" ht="14" customHeight="1">
      <c r="A60" s="59" t="inlineStr">
        <is>
          <t>Application</t>
        </is>
      </c>
      <c r="B60" s="59" t="inlineStr">
        <is>
          <t>DP-CRF-7457</t>
        </is>
      </c>
      <c r="C60" s="49">
        <f>COUNTIF('Raw Data'!C$2:C$546,B60)</f>
        <v/>
      </c>
      <c r="D60" s="49">
        <f>COUNTIFS('Raw Data'!C$2:C$546,B60,'Raw Data'!L$2:L$546,"Available")+COUNTIFS('Raw Data'!C$2:C$546,B60,'Raw Data'!L$2:L$546,"Yes")</f>
        <v/>
      </c>
      <c r="E60" s="49">
        <f>C60-D60</f>
        <v/>
      </c>
      <c r="F60" s="50">
        <f>IF(C60&gt;0,D60/C60,0)</f>
        <v/>
      </c>
    </row>
    <row r="61" ht="14" customHeight="1">
      <c r="A61" s="58" t="inlineStr">
        <is>
          <t>Application</t>
        </is>
      </c>
      <c r="B61" s="58" t="inlineStr">
        <is>
          <t>DP-CRF-7457-663</t>
        </is>
      </c>
      <c r="C61" s="45">
        <f>COUNTIF('Raw Data'!C$2:C$546,B61)</f>
        <v/>
      </c>
      <c r="D61" s="45">
        <f>COUNTIFS('Raw Data'!C$2:C$546,B61,'Raw Data'!L$2:L$546,"Available")+COUNTIFS('Raw Data'!C$2:C$546,B61,'Raw Data'!L$2:L$546,"Yes")</f>
        <v/>
      </c>
      <c r="E61" s="45">
        <f>C61-D61</f>
        <v/>
      </c>
      <c r="F61" s="46">
        <f>IF(C61&gt;0,D61/C61,0)</f>
        <v/>
      </c>
    </row>
    <row r="62" ht="14" customHeight="1">
      <c r="A62" s="59" t="inlineStr">
        <is>
          <t>Application</t>
        </is>
      </c>
      <c r="B62" s="59" t="inlineStr">
        <is>
          <t>DP-CRF-7463</t>
        </is>
      </c>
      <c r="C62" s="49">
        <f>COUNTIF('Raw Data'!C$2:C$546,B62)</f>
        <v/>
      </c>
      <c r="D62" s="49">
        <f>COUNTIFS('Raw Data'!C$2:C$546,B62,'Raw Data'!L$2:L$546,"Available")+COUNTIFS('Raw Data'!C$2:C$546,B62,'Raw Data'!L$2:L$546,"Yes")</f>
        <v/>
      </c>
      <c r="E62" s="49">
        <f>C62-D62</f>
        <v/>
      </c>
      <c r="F62" s="50">
        <f>IF(C62&gt;0,D62/C62,0)</f>
        <v/>
      </c>
    </row>
    <row r="63" ht="14" customHeight="1">
      <c r="A63" s="58" t="inlineStr">
        <is>
          <t>Application</t>
        </is>
      </c>
      <c r="B63" s="58" t="inlineStr">
        <is>
          <t>DP-CRF-7544</t>
        </is>
      </c>
      <c r="C63" s="45">
        <f>COUNTIF('Raw Data'!C$2:C$546,B63)</f>
        <v/>
      </c>
      <c r="D63" s="45">
        <f>COUNTIFS('Raw Data'!C$2:C$546,B63,'Raw Data'!L$2:L$546,"Available")+COUNTIFS('Raw Data'!C$2:C$546,B63,'Raw Data'!L$2:L$546,"Yes")</f>
        <v/>
      </c>
      <c r="E63" s="45">
        <f>C63-D63</f>
        <v/>
      </c>
      <c r="F63" s="46">
        <f>IF(C63&gt;0,D63/C63,0)</f>
        <v/>
      </c>
    </row>
    <row r="64" ht="14" customHeight="1">
      <c r="A64" s="59" t="inlineStr">
        <is>
          <t>Application</t>
        </is>
      </c>
      <c r="B64" s="59" t="inlineStr">
        <is>
          <t>DP-CRF-7553</t>
        </is>
      </c>
      <c r="C64" s="49">
        <f>COUNTIF('Raw Data'!C$2:C$546,B64)</f>
        <v/>
      </c>
      <c r="D64" s="49">
        <f>COUNTIFS('Raw Data'!C$2:C$546,B64,'Raw Data'!L$2:L$546,"Available")+COUNTIFS('Raw Data'!C$2:C$546,B64,'Raw Data'!L$2:L$546,"Yes")</f>
        <v/>
      </c>
      <c r="E64" s="49">
        <f>C64-D64</f>
        <v/>
      </c>
      <c r="F64" s="50">
        <f>IF(C64&gt;0,D64/C64,0)</f>
        <v/>
      </c>
    </row>
    <row r="65" ht="14" customHeight="1">
      <c r="A65" s="58" t="inlineStr">
        <is>
          <t>Application</t>
        </is>
      </c>
      <c r="B65" s="58" t="inlineStr">
        <is>
          <t>DP-CRF-8072</t>
        </is>
      </c>
      <c r="C65" s="45">
        <f>COUNTIF('Raw Data'!C$2:C$546,B65)</f>
        <v/>
      </c>
      <c r="D65" s="45">
        <f>COUNTIFS('Raw Data'!C$2:C$546,B65,'Raw Data'!L$2:L$546,"Available")+COUNTIFS('Raw Data'!C$2:C$546,B65,'Raw Data'!L$2:L$546,"Yes")</f>
        <v/>
      </c>
      <c r="E65" s="45">
        <f>C65-D65</f>
        <v/>
      </c>
      <c r="F65" s="46">
        <f>IF(C65&gt;0,D65/C65,0)</f>
        <v/>
      </c>
    </row>
    <row r="66" ht="14" customHeight="1">
      <c r="A66" s="59" t="inlineStr">
        <is>
          <t>Application</t>
        </is>
      </c>
      <c r="B66" s="59" t="inlineStr">
        <is>
          <t>DP-DMCS-8125</t>
        </is>
      </c>
      <c r="C66" s="49">
        <f>COUNTIF('Raw Data'!C$2:C$546,B66)</f>
        <v/>
      </c>
      <c r="D66" s="49">
        <f>COUNTIFS('Raw Data'!C$2:C$546,B66,'Raw Data'!L$2:L$546,"Available")+COUNTIFS('Raw Data'!C$2:C$546,B66,'Raw Data'!L$2:L$546,"Yes")</f>
        <v/>
      </c>
      <c r="E66" s="49">
        <f>C66-D66</f>
        <v/>
      </c>
      <c r="F66" s="50">
        <f>IF(C66&gt;0,D66/C66,0)</f>
        <v/>
      </c>
    </row>
    <row r="67" ht="14" customHeight="1">
      <c r="A67" s="58" t="inlineStr">
        <is>
          <t>Application</t>
        </is>
      </c>
      <c r="B67" s="58" t="inlineStr">
        <is>
          <t>DP-DRM-8008</t>
        </is>
      </c>
      <c r="C67" s="45">
        <f>COUNTIF('Raw Data'!C$2:C$546,B67)</f>
        <v/>
      </c>
      <c r="D67" s="45">
        <f>COUNTIFS('Raw Data'!C$2:C$546,B67,'Raw Data'!L$2:L$546,"Available")+COUNTIFS('Raw Data'!C$2:C$546,B67,'Raw Data'!L$2:L$546,"Yes")</f>
        <v/>
      </c>
      <c r="E67" s="45">
        <f>C67-D67</f>
        <v/>
      </c>
      <c r="F67" s="46">
        <f>IF(C67&gt;0,D67/C67,0)</f>
        <v/>
      </c>
    </row>
    <row r="68" ht="14" customHeight="1">
      <c r="A68" s="59" t="inlineStr">
        <is>
          <t>Application</t>
        </is>
      </c>
      <c r="B68" s="59" t="inlineStr">
        <is>
          <t>DP-DRM-8011</t>
        </is>
      </c>
      <c r="C68" s="49">
        <f>COUNTIF('Raw Data'!C$2:C$546,B68)</f>
        <v/>
      </c>
      <c r="D68" s="49">
        <f>COUNTIFS('Raw Data'!C$2:C$546,B68,'Raw Data'!L$2:L$546,"Available")+COUNTIFS('Raw Data'!C$2:C$546,B68,'Raw Data'!L$2:L$546,"Yes")</f>
        <v/>
      </c>
      <c r="E68" s="49">
        <f>C68-D68</f>
        <v/>
      </c>
      <c r="F68" s="50">
        <f>IF(C68&gt;0,D68/C68,0)</f>
        <v/>
      </c>
    </row>
    <row r="69" ht="14" customHeight="1">
      <c r="A69" s="58" t="inlineStr">
        <is>
          <t>Application</t>
        </is>
      </c>
      <c r="B69" s="58" t="inlineStr">
        <is>
          <t>DP-DTM-8003</t>
        </is>
      </c>
      <c r="C69" s="45">
        <f>COUNTIF('Raw Data'!C$2:C$546,B69)</f>
        <v/>
      </c>
      <c r="D69" s="45">
        <f>COUNTIFS('Raw Data'!C$2:C$546,B69,'Raw Data'!L$2:L$546,"Available")+COUNTIFS('Raw Data'!C$2:C$546,B69,'Raw Data'!L$2:L$546,"Yes")</f>
        <v/>
      </c>
      <c r="E69" s="45">
        <f>C69-D69</f>
        <v/>
      </c>
      <c r="F69" s="46">
        <f>IF(C69&gt;0,D69/C69,0)</f>
        <v/>
      </c>
    </row>
    <row r="70" ht="14" customHeight="1">
      <c r="A70" s="59" t="inlineStr">
        <is>
          <t>Application</t>
        </is>
      </c>
      <c r="B70" s="59" t="inlineStr">
        <is>
          <t>DP-DTRM-8019</t>
        </is>
      </c>
      <c r="C70" s="49">
        <f>COUNTIF('Raw Data'!C$2:C$546,B70)</f>
        <v/>
      </c>
      <c r="D70" s="49">
        <f>COUNTIFS('Raw Data'!C$2:C$546,B70,'Raw Data'!L$2:L$546,"Available")+COUNTIFS('Raw Data'!C$2:C$546,B70,'Raw Data'!L$2:L$546,"Yes")</f>
        <v/>
      </c>
      <c r="E70" s="49">
        <f>C70-D70</f>
        <v/>
      </c>
      <c r="F70" s="50">
        <f>IF(C70&gt;0,D70/C70,0)</f>
        <v/>
      </c>
    </row>
    <row r="71" ht="14" customHeight="1">
      <c r="A71" s="58" t="inlineStr">
        <is>
          <t>Application</t>
        </is>
      </c>
      <c r="B71" s="58" t="inlineStr">
        <is>
          <t>DP-ECM-1071</t>
        </is>
      </c>
      <c r="C71" s="45">
        <f>COUNTIF('Raw Data'!C$2:C$546,B71)</f>
        <v/>
      </c>
      <c r="D71" s="45">
        <f>COUNTIFS('Raw Data'!C$2:C$546,B71,'Raw Data'!L$2:L$546,"Available")+COUNTIFS('Raw Data'!C$2:C$546,B71,'Raw Data'!L$2:L$546,"Yes")</f>
        <v/>
      </c>
      <c r="E71" s="45">
        <f>C71-D71</f>
        <v/>
      </c>
      <c r="F71" s="46">
        <f>IF(C71&gt;0,D71/C71,0)</f>
        <v/>
      </c>
    </row>
    <row r="72" ht="14" customHeight="1">
      <c r="A72" s="59" t="inlineStr">
        <is>
          <t>Application</t>
        </is>
      </c>
      <c r="B72" s="59" t="inlineStr">
        <is>
          <t>DP-ECM-1074</t>
        </is>
      </c>
      <c r="C72" s="49">
        <f>COUNTIF('Raw Data'!C$2:C$546,B72)</f>
        <v/>
      </c>
      <c r="D72" s="49">
        <f>COUNTIFS('Raw Data'!C$2:C$546,B72,'Raw Data'!L$2:L$546,"Available")+COUNTIFS('Raw Data'!C$2:C$546,B72,'Raw Data'!L$2:L$546,"Yes")</f>
        <v/>
      </c>
      <c r="E72" s="49">
        <f>C72-D72</f>
        <v/>
      </c>
      <c r="F72" s="50">
        <f>IF(C72&gt;0,D72/C72,0)</f>
        <v/>
      </c>
    </row>
    <row r="73" ht="14" customHeight="1">
      <c r="A73" s="58" t="inlineStr">
        <is>
          <t>Application</t>
        </is>
      </c>
      <c r="B73" s="58" t="inlineStr">
        <is>
          <t>DP-ECM-1215</t>
        </is>
      </c>
      <c r="C73" s="45">
        <f>COUNTIF('Raw Data'!C$2:C$546,B73)</f>
        <v/>
      </c>
      <c r="D73" s="45">
        <f>COUNTIFS('Raw Data'!C$2:C$546,B73,'Raw Data'!L$2:L$546,"Available")+COUNTIFS('Raw Data'!C$2:C$546,B73,'Raw Data'!L$2:L$546,"Yes")</f>
        <v/>
      </c>
      <c r="E73" s="45">
        <f>C73-D73</f>
        <v/>
      </c>
      <c r="F73" s="46">
        <f>IF(C73&gt;0,D73/C73,0)</f>
        <v/>
      </c>
    </row>
    <row r="74" ht="14" customHeight="1">
      <c r="A74" s="59" t="inlineStr">
        <is>
          <t>Application</t>
        </is>
      </c>
      <c r="B74" s="59" t="inlineStr">
        <is>
          <t>DP-ESM-1062</t>
        </is>
      </c>
      <c r="C74" s="49">
        <f>COUNTIF('Raw Data'!C$2:C$546,B74)</f>
        <v/>
      </c>
      <c r="D74" s="49">
        <f>COUNTIFS('Raw Data'!C$2:C$546,B74,'Raw Data'!L$2:L$546,"Available")+COUNTIFS('Raw Data'!C$2:C$546,B74,'Raw Data'!L$2:L$546,"Yes")</f>
        <v/>
      </c>
      <c r="E74" s="49">
        <f>C74-D74</f>
        <v/>
      </c>
      <c r="F74" s="50">
        <f>IF(C74&gt;0,D74/C74,0)</f>
        <v/>
      </c>
    </row>
    <row r="75" ht="14" customHeight="1">
      <c r="A75" s="58" t="inlineStr">
        <is>
          <t>Application</t>
        </is>
      </c>
      <c r="B75" s="58" t="inlineStr">
        <is>
          <t>DP-ESM-1212</t>
        </is>
      </c>
      <c r="C75" s="45">
        <f>COUNTIF('Raw Data'!C$2:C$546,B75)</f>
        <v/>
      </c>
      <c r="D75" s="45">
        <f>COUNTIFS('Raw Data'!C$2:C$546,B75,'Raw Data'!L$2:L$546,"Available")+COUNTIFS('Raw Data'!C$2:C$546,B75,'Raw Data'!L$2:L$546,"Yes")</f>
        <v/>
      </c>
      <c r="E75" s="45">
        <f>C75-D75</f>
        <v/>
      </c>
      <c r="F75" s="46">
        <f>IF(C75&gt;0,D75/C75,0)</f>
        <v/>
      </c>
    </row>
    <row r="76" ht="14" customHeight="1">
      <c r="A76" s="59" t="inlineStr">
        <is>
          <t>Application</t>
        </is>
      </c>
      <c r="B76" s="59" t="inlineStr">
        <is>
          <t>DP-EW-8002</t>
        </is>
      </c>
      <c r="C76" s="49">
        <f>COUNTIF('Raw Data'!C$2:C$546,B76)</f>
        <v/>
      </c>
      <c r="D76" s="49">
        <f>COUNTIFS('Raw Data'!C$2:C$546,B76,'Raw Data'!L$2:L$546,"Available")+COUNTIFS('Raw Data'!C$2:C$546,B76,'Raw Data'!L$2:L$546,"Yes")</f>
        <v/>
      </c>
      <c r="E76" s="49">
        <f>C76-D76</f>
        <v/>
      </c>
      <c r="F76" s="50">
        <f>IF(C76&gt;0,D76/C76,0)</f>
        <v/>
      </c>
    </row>
    <row r="77" ht="14" customHeight="1">
      <c r="A77" s="58" t="inlineStr">
        <is>
          <t>Application</t>
        </is>
      </c>
      <c r="B77" s="58" t="inlineStr">
        <is>
          <t>DP-EW-8014</t>
        </is>
      </c>
      <c r="C77" s="45">
        <f>COUNTIF('Raw Data'!C$2:C$546,B77)</f>
        <v/>
      </c>
      <c r="D77" s="45">
        <f>COUNTIFS('Raw Data'!C$2:C$546,B77,'Raw Data'!L$2:L$546,"Available")+COUNTIFS('Raw Data'!C$2:C$546,B77,'Raw Data'!L$2:L$546,"Yes")</f>
        <v/>
      </c>
      <c r="E77" s="45">
        <f>C77-D77</f>
        <v/>
      </c>
      <c r="F77" s="46">
        <f>IF(C77&gt;0,D77/C77,0)</f>
        <v/>
      </c>
    </row>
    <row r="78" ht="14" customHeight="1">
      <c r="A78" s="59" t="inlineStr">
        <is>
          <t>Application</t>
        </is>
      </c>
      <c r="B78" s="59" t="inlineStr">
        <is>
          <t>DP-OBC-1149</t>
        </is>
      </c>
      <c r="C78" s="49">
        <f>COUNTIF('Raw Data'!C$2:C$546,B78)</f>
        <v/>
      </c>
      <c r="D78" s="49">
        <f>COUNTIFS('Raw Data'!C$2:C$546,B78,'Raw Data'!L$2:L$546,"Available")+COUNTIFS('Raw Data'!C$2:C$546,B78,'Raw Data'!L$2:L$546,"Yes")</f>
        <v/>
      </c>
      <c r="E78" s="49">
        <f>C78-D78</f>
        <v/>
      </c>
      <c r="F78" s="50">
        <f>IF(C78&gt;0,D78/C78,0)</f>
        <v/>
      </c>
    </row>
    <row r="79" ht="14" customHeight="1">
      <c r="A79" s="58" t="inlineStr">
        <is>
          <t>Application</t>
        </is>
      </c>
      <c r="B79" s="58" t="inlineStr">
        <is>
          <t>DP-OBC-3012</t>
        </is>
      </c>
      <c r="C79" s="45">
        <f>COUNTIF('Raw Data'!C$2:C$546,B79)</f>
        <v/>
      </c>
      <c r="D79" s="45">
        <f>COUNTIFS('Raw Data'!C$2:C$546,B79,'Raw Data'!L$2:L$546,"Available")+COUNTIFS('Raw Data'!C$2:C$546,B79,'Raw Data'!L$2:L$546,"Yes")</f>
        <v/>
      </c>
      <c r="E79" s="45">
        <f>C79-D79</f>
        <v/>
      </c>
      <c r="F79" s="46">
        <f>IF(C79&gt;0,D79/C79,0)</f>
        <v/>
      </c>
    </row>
    <row r="80" ht="14" customHeight="1">
      <c r="A80" s="59" t="inlineStr">
        <is>
          <t>Application</t>
        </is>
      </c>
      <c r="B80" s="59" t="inlineStr">
        <is>
          <t>DP-OBC-5028</t>
        </is>
      </c>
      <c r="C80" s="49">
        <f>COUNTIF('Raw Data'!C$2:C$546,B80)</f>
        <v/>
      </c>
      <c r="D80" s="49">
        <f>COUNTIFS('Raw Data'!C$2:C$546,B80,'Raw Data'!L$2:L$546,"Available")+COUNTIFS('Raw Data'!C$2:C$546,B80,'Raw Data'!L$2:L$546,"Yes")</f>
        <v/>
      </c>
      <c r="E80" s="49">
        <f>C80-D80</f>
        <v/>
      </c>
      <c r="F80" s="50">
        <f>IF(C80&gt;0,D80/C80,0)</f>
        <v/>
      </c>
    </row>
    <row r="81" ht="14" customHeight="1">
      <c r="A81" s="58" t="inlineStr">
        <is>
          <t>Application</t>
        </is>
      </c>
      <c r="B81" s="58" t="inlineStr">
        <is>
          <t>DP-OBC-8178</t>
        </is>
      </c>
      <c r="C81" s="45">
        <f>COUNTIF('Raw Data'!C$2:C$546,B81)</f>
        <v/>
      </c>
      <c r="D81" s="45">
        <f>COUNTIFS('Raw Data'!C$2:C$546,B81,'Raw Data'!L$2:L$546,"Available")+COUNTIFS('Raw Data'!C$2:C$546,B81,'Raw Data'!L$2:L$546,"Yes")</f>
        <v/>
      </c>
      <c r="E81" s="45">
        <f>C81-D81</f>
        <v/>
      </c>
      <c r="F81" s="46">
        <f>IF(C81&gt;0,D81/C81,0)</f>
        <v/>
      </c>
    </row>
    <row r="82" ht="14" customHeight="1">
      <c r="A82" s="59" t="inlineStr">
        <is>
          <t>Application</t>
        </is>
      </c>
      <c r="B82" s="59" t="inlineStr">
        <is>
          <t>DP-OBC-8178-V1-02-US-LINUX</t>
        </is>
      </c>
      <c r="C82" s="49">
        <f>COUNTIF('Raw Data'!C$2:C$546,B82)</f>
        <v/>
      </c>
      <c r="D82" s="49">
        <f>COUNTIFS('Raw Data'!C$2:C$546,B82,'Raw Data'!L$2:L$546,"Available")+COUNTIFS('Raw Data'!C$2:C$546,B82,'Raw Data'!L$2:L$546,"Yes")</f>
        <v/>
      </c>
      <c r="E82" s="49">
        <f>C82-D82</f>
        <v/>
      </c>
      <c r="F82" s="50">
        <f>IF(C82&gt;0,D82/C82,0)</f>
        <v/>
      </c>
    </row>
    <row r="83" ht="14" customHeight="1">
      <c r="A83" s="58" t="inlineStr">
        <is>
          <t>Application</t>
        </is>
      </c>
      <c r="B83" s="58" t="inlineStr">
        <is>
          <t>DP-RDR-8161</t>
        </is>
      </c>
      <c r="C83" s="45">
        <f>COUNTIF('Raw Data'!C$2:C$546,B83)</f>
        <v/>
      </c>
      <c r="D83" s="45">
        <f>COUNTIFS('Raw Data'!C$2:C$546,B83,'Raw Data'!L$2:L$546,"Available")+COUNTIFS('Raw Data'!C$2:C$546,B83,'Raw Data'!L$2:L$546,"Yes")</f>
        <v/>
      </c>
      <c r="E83" s="45">
        <f>C83-D83</f>
        <v/>
      </c>
      <c r="F83" s="46">
        <f>IF(C83&gt;0,D83/C83,0)</f>
        <v/>
      </c>
    </row>
    <row r="84" ht="14" customHeight="1">
      <c r="A84" s="59" t="inlineStr">
        <is>
          <t>Application</t>
        </is>
      </c>
      <c r="B84" s="59" t="inlineStr">
        <is>
          <t>DP-RDR-8164</t>
        </is>
      </c>
      <c r="C84" s="49">
        <f>COUNTIF('Raw Data'!C$2:C$546,B84)</f>
        <v/>
      </c>
      <c r="D84" s="49">
        <f>COUNTIFS('Raw Data'!C$2:C$546,B84,'Raw Data'!L$2:L$546,"Available")+COUNTIFS('Raw Data'!C$2:C$546,B84,'Raw Data'!L$2:L$546,"Yes")</f>
        <v/>
      </c>
      <c r="E84" s="49">
        <f>C84-D84</f>
        <v/>
      </c>
      <c r="F84" s="50">
        <f>IF(C84&gt;0,D84/C84,0)</f>
        <v/>
      </c>
    </row>
    <row r="85" ht="14" customHeight="1">
      <c r="A85" s="58" t="inlineStr">
        <is>
          <t>Application</t>
        </is>
      </c>
      <c r="B85" s="58" t="inlineStr">
        <is>
          <t>DP-RDR-8167</t>
        </is>
      </c>
      <c r="C85" s="45">
        <f>COUNTIF('Raw Data'!C$2:C$546,B85)</f>
        <v/>
      </c>
      <c r="D85" s="45">
        <f>COUNTIFS('Raw Data'!C$2:C$546,B85,'Raw Data'!L$2:L$546,"Available")+COUNTIFS('Raw Data'!C$2:C$546,B85,'Raw Data'!L$2:L$546,"Yes")</f>
        <v/>
      </c>
      <c r="E85" s="45">
        <f>C85-D85</f>
        <v/>
      </c>
      <c r="F85" s="46">
        <f>IF(C85&gt;0,D85/C85,0)</f>
        <v/>
      </c>
    </row>
    <row r="86" ht="14" customHeight="1">
      <c r="A86" s="59" t="inlineStr">
        <is>
          <t>Application</t>
        </is>
      </c>
      <c r="B86" s="59" t="inlineStr">
        <is>
          <t>DP-RDR-8170</t>
        </is>
      </c>
      <c r="C86" s="49">
        <f>COUNTIF('Raw Data'!C$2:C$546,B86)</f>
        <v/>
      </c>
      <c r="D86" s="49">
        <f>COUNTIFS('Raw Data'!C$2:C$546,B86,'Raw Data'!L$2:L$546,"Available")+COUNTIFS('Raw Data'!C$2:C$546,B86,'Raw Data'!L$2:L$546,"Yes")</f>
        <v/>
      </c>
      <c r="E86" s="49">
        <f>C86-D86</f>
        <v/>
      </c>
      <c r="F86" s="50">
        <f>IF(C86&gt;0,D86/C86,0)</f>
        <v/>
      </c>
    </row>
    <row r="87" ht="14" customHeight="1">
      <c r="A87" s="58" t="inlineStr">
        <is>
          <t>Application</t>
        </is>
      </c>
      <c r="B87" s="58" t="inlineStr">
        <is>
          <t>DP-RDR-8176</t>
        </is>
      </c>
      <c r="C87" s="45">
        <f>COUNTIF('Raw Data'!C$2:C$546,B87)</f>
        <v/>
      </c>
      <c r="D87" s="45">
        <f>COUNTIFS('Raw Data'!C$2:C$546,B87,'Raw Data'!L$2:L$546,"Available")+COUNTIFS('Raw Data'!C$2:C$546,B87,'Raw Data'!L$2:L$546,"Yes")</f>
        <v/>
      </c>
      <c r="E87" s="45">
        <f>C87-D87</f>
        <v/>
      </c>
      <c r="F87" s="46">
        <f>IF(C87&gt;0,D87/C87,0)</f>
        <v/>
      </c>
    </row>
    <row r="88" ht="14" customHeight="1">
      <c r="A88" s="59" t="inlineStr">
        <is>
          <t>Application</t>
        </is>
      </c>
      <c r="B88" s="59" t="inlineStr">
        <is>
          <t>DP-RDR-8179</t>
        </is>
      </c>
      <c r="C88" s="49">
        <f>COUNTIF('Raw Data'!C$2:C$546,B88)</f>
        <v/>
      </c>
      <c r="D88" s="49">
        <f>COUNTIFS('Raw Data'!C$2:C$546,B88,'Raw Data'!L$2:L$546,"Available")+COUNTIFS('Raw Data'!C$2:C$546,B88,'Raw Data'!L$2:L$546,"Yes")</f>
        <v/>
      </c>
      <c r="E88" s="49">
        <f>C88-D88</f>
        <v/>
      </c>
      <c r="F88" s="50">
        <f>IF(C88&gt;0,D88/C88,0)</f>
        <v/>
      </c>
    </row>
    <row r="89" ht="14" customHeight="1">
      <c r="A89" s="58" t="inlineStr">
        <is>
          <t>Application</t>
        </is>
      </c>
      <c r="B89" s="58" t="inlineStr">
        <is>
          <t>DP-RDR-8182</t>
        </is>
      </c>
      <c r="C89" s="45">
        <f>COUNTIF('Raw Data'!C$2:C$546,B89)</f>
        <v/>
      </c>
      <c r="D89" s="45">
        <f>COUNTIFS('Raw Data'!C$2:C$546,B89,'Raw Data'!L$2:L$546,"Available")+COUNTIFS('Raw Data'!C$2:C$546,B89,'Raw Data'!L$2:L$546,"Yes")</f>
        <v/>
      </c>
      <c r="E89" s="45">
        <f>C89-D89</f>
        <v/>
      </c>
      <c r="F89" s="46">
        <f>IF(C89&gt;0,D89/C89,0)</f>
        <v/>
      </c>
    </row>
    <row r="90" ht="14" customHeight="1">
      <c r="A90" s="59" t="inlineStr">
        <is>
          <t>Application</t>
        </is>
      </c>
      <c r="B90" s="59" t="inlineStr">
        <is>
          <t>DP-RDR-8185</t>
        </is>
      </c>
      <c r="C90" s="49">
        <f>COUNTIF('Raw Data'!C$2:C$546,B90)</f>
        <v/>
      </c>
      <c r="D90" s="49">
        <f>COUNTIFS('Raw Data'!C$2:C$546,B90,'Raw Data'!L$2:L$546,"Available")+COUNTIFS('Raw Data'!C$2:C$546,B90,'Raw Data'!L$2:L$546,"Yes")</f>
        <v/>
      </c>
      <c r="E90" s="49">
        <f>C90-D90</f>
        <v/>
      </c>
      <c r="F90" s="50">
        <f>IF(C90&gt;0,D90/C90,0)</f>
        <v/>
      </c>
    </row>
    <row r="91" ht="14" customHeight="1">
      <c r="A91" s="58" t="inlineStr">
        <is>
          <t>Application</t>
        </is>
      </c>
      <c r="B91" s="58" t="inlineStr">
        <is>
          <t>DP-RDR-8188</t>
        </is>
      </c>
      <c r="C91" s="45">
        <f>COUNTIF('Raw Data'!C$2:C$546,B91)</f>
        <v/>
      </c>
      <c r="D91" s="45">
        <f>COUNTIFS('Raw Data'!C$2:C$546,B91,'Raw Data'!L$2:L$546,"Available")+COUNTIFS('Raw Data'!C$2:C$546,B91,'Raw Data'!L$2:L$546,"Yes")</f>
        <v/>
      </c>
      <c r="E91" s="45">
        <f>C91-D91</f>
        <v/>
      </c>
      <c r="F91" s="46">
        <f>IF(C91&gt;0,D91/C91,0)</f>
        <v/>
      </c>
    </row>
    <row r="92" ht="14" customHeight="1">
      <c r="A92" s="59" t="inlineStr">
        <is>
          <t>Application</t>
        </is>
      </c>
      <c r="B92" s="59" t="inlineStr">
        <is>
          <t>DP-RDR-8191</t>
        </is>
      </c>
      <c r="C92" s="49">
        <f>COUNTIF('Raw Data'!C$2:C$546,B92)</f>
        <v/>
      </c>
      <c r="D92" s="49">
        <f>COUNTIFS('Raw Data'!C$2:C$546,B92,'Raw Data'!L$2:L$546,"Available")+COUNTIFS('Raw Data'!C$2:C$546,B92,'Raw Data'!L$2:L$546,"Yes")</f>
        <v/>
      </c>
      <c r="E92" s="49">
        <f>C92-D92</f>
        <v/>
      </c>
      <c r="F92" s="50">
        <f>IF(C92&gt;0,D92/C92,0)</f>
        <v/>
      </c>
    </row>
    <row r="93" ht="14" customHeight="1">
      <c r="A93" s="58" t="inlineStr">
        <is>
          <t>Application</t>
        </is>
      </c>
      <c r="B93" s="58" t="inlineStr">
        <is>
          <t>DP-RDR-8335</t>
        </is>
      </c>
      <c r="C93" s="45">
        <f>COUNTIF('Raw Data'!C$2:C$546,B93)</f>
        <v/>
      </c>
      <c r="D93" s="45">
        <f>COUNTIFS('Raw Data'!C$2:C$546,B93,'Raw Data'!L$2:L$546,"Available")+COUNTIFS('Raw Data'!C$2:C$546,B93,'Raw Data'!L$2:L$546,"Yes")</f>
        <v/>
      </c>
      <c r="E93" s="45">
        <f>C93-D93</f>
        <v/>
      </c>
      <c r="F93" s="46">
        <f>IF(C93&gt;0,D93/C93,0)</f>
        <v/>
      </c>
    </row>
    <row r="94" ht="14" customHeight="1">
      <c r="A94" s="59" t="inlineStr">
        <is>
          <t>Application</t>
        </is>
      </c>
      <c r="B94" s="59" t="inlineStr">
        <is>
          <t>DP-RFSS-7121-669</t>
        </is>
      </c>
      <c r="C94" s="49">
        <f>COUNTIF('Raw Data'!C$2:C$546,B94)</f>
        <v/>
      </c>
      <c r="D94" s="49">
        <f>COUNTIFS('Raw Data'!C$2:C$546,B94,'Raw Data'!L$2:L$546,"Available")+COUNTIFS('Raw Data'!C$2:C$546,B94,'Raw Data'!L$2:L$546,"Yes")</f>
        <v/>
      </c>
      <c r="E94" s="49">
        <f>C94-D94</f>
        <v/>
      </c>
      <c r="F94" s="50">
        <f>IF(C94&gt;0,D94/C94,0)</f>
        <v/>
      </c>
    </row>
    <row r="95" ht="14" customHeight="1">
      <c r="A95" s="58" t="inlineStr">
        <is>
          <t>Application</t>
        </is>
      </c>
      <c r="B95" s="58" t="inlineStr">
        <is>
          <t>DP-RFSS-7142</t>
        </is>
      </c>
      <c r="C95" s="45">
        <f>COUNTIF('Raw Data'!C$2:C$546,B95)</f>
        <v/>
      </c>
      <c r="D95" s="45">
        <f>COUNTIFS('Raw Data'!C$2:C$546,B95,'Raw Data'!L$2:L$546,"Available")+COUNTIFS('Raw Data'!C$2:C$546,B95,'Raw Data'!L$2:L$546,"Yes")</f>
        <v/>
      </c>
      <c r="E95" s="45">
        <f>C95-D95</f>
        <v/>
      </c>
      <c r="F95" s="46">
        <f>IF(C95&gt;0,D95/C95,0)</f>
        <v/>
      </c>
    </row>
    <row r="96" ht="14" customHeight="1">
      <c r="A96" s="59" t="inlineStr">
        <is>
          <t>Application</t>
        </is>
      </c>
      <c r="B96" s="59" t="inlineStr">
        <is>
          <t>DP-RFSS-7145</t>
        </is>
      </c>
      <c r="C96" s="49">
        <f>COUNTIF('Raw Data'!C$2:C$546,B96)</f>
        <v/>
      </c>
      <c r="D96" s="49">
        <f>COUNTIFS('Raw Data'!C$2:C$546,B96,'Raw Data'!L$2:L$546,"Available")+COUNTIFS('Raw Data'!C$2:C$546,B96,'Raw Data'!L$2:L$546,"Yes")</f>
        <v/>
      </c>
      <c r="E96" s="49">
        <f>C96-D96</f>
        <v/>
      </c>
      <c r="F96" s="50">
        <f>IF(C96&gt;0,D96/C96,0)</f>
        <v/>
      </c>
    </row>
    <row r="97" ht="14" customHeight="1">
      <c r="A97" s="58" t="inlineStr">
        <is>
          <t>Application</t>
        </is>
      </c>
      <c r="B97" s="58" t="inlineStr">
        <is>
          <t>DP-RFSS-7148</t>
        </is>
      </c>
      <c r="C97" s="45">
        <f>COUNTIF('Raw Data'!C$2:C$546,B97)</f>
        <v/>
      </c>
      <c r="D97" s="45">
        <f>COUNTIFS('Raw Data'!C$2:C$546,B97,'Raw Data'!L$2:L$546,"Available")+COUNTIFS('Raw Data'!C$2:C$546,B97,'Raw Data'!L$2:L$546,"Yes")</f>
        <v/>
      </c>
      <c r="E97" s="45">
        <f>C97-D97</f>
        <v/>
      </c>
      <c r="F97" s="46">
        <f>IF(C97&gt;0,D97/C97,0)</f>
        <v/>
      </c>
    </row>
    <row r="98" ht="14" customHeight="1">
      <c r="A98" s="59" t="inlineStr">
        <is>
          <t>Application</t>
        </is>
      </c>
      <c r="B98" s="59" t="inlineStr">
        <is>
          <t>DP-RFSS-7721</t>
        </is>
      </c>
      <c r="C98" s="49">
        <f>COUNTIF('Raw Data'!C$2:C$546,B98)</f>
        <v/>
      </c>
      <c r="D98" s="49">
        <f>COUNTIFS('Raw Data'!C$2:C$546,B98,'Raw Data'!L$2:L$546,"Available")+COUNTIFS('Raw Data'!C$2:C$546,B98,'Raw Data'!L$2:L$546,"Yes")</f>
        <v/>
      </c>
      <c r="E98" s="49">
        <f>C98-D98</f>
        <v/>
      </c>
      <c r="F98" s="50">
        <f>IF(C98&gt;0,D98/C98,0)</f>
        <v/>
      </c>
    </row>
    <row r="99" ht="14" customHeight="1">
      <c r="A99" s="58" t="inlineStr">
        <is>
          <t>Application</t>
        </is>
      </c>
      <c r="B99" s="58" t="inlineStr">
        <is>
          <t>DP-RFSS-7724</t>
        </is>
      </c>
      <c r="C99" s="45">
        <f>COUNTIF('Raw Data'!C$2:C$546,B99)</f>
        <v/>
      </c>
      <c r="D99" s="45">
        <f>COUNTIFS('Raw Data'!C$2:C$546,B99,'Raw Data'!L$2:L$546,"Available")+COUNTIFS('Raw Data'!C$2:C$546,B99,'Raw Data'!L$2:L$546,"Yes")</f>
        <v/>
      </c>
      <c r="E99" s="45">
        <f>C99-D99</f>
        <v/>
      </c>
      <c r="F99" s="46">
        <f>IF(C99&gt;0,D99/C99,0)</f>
        <v/>
      </c>
    </row>
    <row r="100" ht="14" customHeight="1">
      <c r="A100" s="59" t="inlineStr">
        <is>
          <t>Application</t>
        </is>
      </c>
      <c r="B100" s="59" t="inlineStr">
        <is>
          <t>DP-SPL-1009</t>
        </is>
      </c>
      <c r="C100" s="49">
        <f>COUNTIF('Raw Data'!C$2:C$546,B100)</f>
        <v/>
      </c>
      <c r="D100" s="49">
        <f>COUNTIFS('Raw Data'!C$2:C$546,B100,'Raw Data'!L$2:L$546,"Available")+COUNTIFS('Raw Data'!C$2:C$546,B100,'Raw Data'!L$2:L$546,"Yes")</f>
        <v/>
      </c>
      <c r="E100" s="49">
        <f>C100-D100</f>
        <v/>
      </c>
      <c r="F100" s="50">
        <f>IF(C100&gt;0,D100/C100,0)</f>
        <v/>
      </c>
    </row>
    <row r="101" ht="14" customHeight="1">
      <c r="A101" s="58" t="inlineStr">
        <is>
          <t>Application</t>
        </is>
      </c>
      <c r="B101" s="58" t="inlineStr">
        <is>
          <t>DP-SPL-5374</t>
        </is>
      </c>
      <c r="C101" s="45">
        <f>COUNTIF('Raw Data'!C$2:C$546,B101)</f>
        <v/>
      </c>
      <c r="D101" s="45">
        <f>COUNTIFS('Raw Data'!C$2:C$546,B101,'Raw Data'!L$2:L$546,"Available")+COUNTIFS('Raw Data'!C$2:C$546,B101,'Raw Data'!L$2:L$546,"Yes")</f>
        <v/>
      </c>
      <c r="E101" s="45">
        <f>C101-D101</f>
        <v/>
      </c>
      <c r="F101" s="46">
        <f>IF(C101&gt;0,D101/C101,0)</f>
        <v/>
      </c>
    </row>
    <row r="102" ht="14" customHeight="1">
      <c r="A102" s="59" t="inlineStr">
        <is>
          <t>Application</t>
        </is>
      </c>
      <c r="B102" s="59" t="inlineStr">
        <is>
          <t>DP-SPL-5389</t>
        </is>
      </c>
      <c r="C102" s="49">
        <f>COUNTIF('Raw Data'!C$2:C$546,B102)</f>
        <v/>
      </c>
      <c r="D102" s="49">
        <f>COUNTIFS('Raw Data'!C$2:C$546,B102,'Raw Data'!L$2:L$546,"Available")+COUNTIFS('Raw Data'!C$2:C$546,B102,'Raw Data'!L$2:L$546,"Yes")</f>
        <v/>
      </c>
      <c r="E102" s="49">
        <f>C102-D102</f>
        <v/>
      </c>
      <c r="F102" s="50">
        <f>IF(C102&gt;0,D102/C102,0)</f>
        <v/>
      </c>
    </row>
    <row r="103" ht="14" customHeight="1">
      <c r="A103" s="58" t="inlineStr">
        <is>
          <t>Application</t>
        </is>
      </c>
      <c r="B103" s="58" t="inlineStr">
        <is>
          <t>DP-SPL-6907</t>
        </is>
      </c>
      <c r="C103" s="45">
        <f>COUNTIF('Raw Data'!C$2:C$546,B103)</f>
        <v/>
      </c>
      <c r="D103" s="45">
        <f>COUNTIFS('Raw Data'!C$2:C$546,B103,'Raw Data'!L$2:L$546,"Available")+COUNTIFS('Raw Data'!C$2:C$546,B103,'Raw Data'!L$2:L$546,"Yes")</f>
        <v/>
      </c>
      <c r="E103" s="45">
        <f>C103-D103</f>
        <v/>
      </c>
      <c r="F103" s="46">
        <f>IF(C103&gt;0,D103/C103,0)</f>
        <v/>
      </c>
    </row>
    <row r="104" ht="14" customHeight="1">
      <c r="A104" s="59" t="inlineStr">
        <is>
          <t>Application</t>
        </is>
      </c>
      <c r="B104" s="59" t="inlineStr">
        <is>
          <t>DP-SPL-7120-600</t>
        </is>
      </c>
      <c r="C104" s="49">
        <f>COUNTIF('Raw Data'!C$2:C$546,B104)</f>
        <v/>
      </c>
      <c r="D104" s="49">
        <f>COUNTIFS('Raw Data'!C$2:C$546,B104,'Raw Data'!L$2:L$546,"Available")+COUNTIFS('Raw Data'!C$2:C$546,B104,'Raw Data'!L$2:L$546,"Yes")</f>
        <v/>
      </c>
      <c r="E104" s="49">
        <f>C104-D104</f>
        <v/>
      </c>
      <c r="F104" s="50">
        <f>IF(C104&gt;0,D104/C104,0)</f>
        <v/>
      </c>
    </row>
    <row r="105" ht="14" customHeight="1">
      <c r="A105" s="58" t="inlineStr">
        <is>
          <t>Application</t>
        </is>
      </c>
      <c r="B105" s="58" t="inlineStr">
        <is>
          <t>DP-SPL-7153</t>
        </is>
      </c>
      <c r="C105" s="45">
        <f>COUNTIF('Raw Data'!C$2:C$546,B105)</f>
        <v/>
      </c>
      <c r="D105" s="45">
        <f>COUNTIFS('Raw Data'!C$2:C$546,B105,'Raw Data'!L$2:L$546,"Available")+COUNTIFS('Raw Data'!C$2:C$546,B105,'Raw Data'!L$2:L$546,"Yes")</f>
        <v/>
      </c>
      <c r="E105" s="45">
        <f>C105-D105</f>
        <v/>
      </c>
      <c r="F105" s="46">
        <f>IF(C105&gt;0,D105/C105,0)</f>
        <v/>
      </c>
    </row>
    <row r="106" ht="14" customHeight="1">
      <c r="A106" s="59" t="inlineStr">
        <is>
          <t>Application</t>
        </is>
      </c>
      <c r="B106" s="59" t="inlineStr">
        <is>
          <t>DP-SPL-7180</t>
        </is>
      </c>
      <c r="C106" s="49">
        <f>COUNTIF('Raw Data'!C$2:C$546,B106)</f>
        <v/>
      </c>
      <c r="D106" s="49">
        <f>COUNTIFS('Raw Data'!C$2:C$546,B106,'Raw Data'!L$2:L$546,"Available")+COUNTIFS('Raw Data'!C$2:C$546,B106,'Raw Data'!L$2:L$546,"Yes")</f>
        <v/>
      </c>
      <c r="E106" s="49">
        <f>C106-D106</f>
        <v/>
      </c>
      <c r="F106" s="50">
        <f>IF(C106&gt;0,D106/C106,0)</f>
        <v/>
      </c>
    </row>
    <row r="107" ht="14" customHeight="1">
      <c r="A107" s="58" t="inlineStr">
        <is>
          <t>Application</t>
        </is>
      </c>
      <c r="B107" s="58" t="inlineStr">
        <is>
          <t>DP-SPL-7201</t>
        </is>
      </c>
      <c r="C107" s="45">
        <f>COUNTIF('Raw Data'!C$2:C$546,B107)</f>
        <v/>
      </c>
      <c r="D107" s="45">
        <f>COUNTIFS('Raw Data'!C$2:C$546,B107,'Raw Data'!L$2:L$546,"Available")+COUNTIFS('Raw Data'!C$2:C$546,B107,'Raw Data'!L$2:L$546,"Yes")</f>
        <v/>
      </c>
      <c r="E107" s="45">
        <f>C107-D107</f>
        <v/>
      </c>
      <c r="F107" s="46">
        <f>IF(C107&gt;0,D107/C107,0)</f>
        <v/>
      </c>
    </row>
    <row r="108" ht="14" customHeight="1">
      <c r="A108" s="59" t="inlineStr">
        <is>
          <t>Application</t>
        </is>
      </c>
      <c r="B108" s="59" t="inlineStr">
        <is>
          <t>DP-SPU-8019</t>
        </is>
      </c>
      <c r="C108" s="49">
        <f>COUNTIF('Raw Data'!C$2:C$546,B108)</f>
        <v/>
      </c>
      <c r="D108" s="49">
        <f>COUNTIFS('Raw Data'!C$2:C$546,B108,'Raw Data'!L$2:L$546,"Available")+COUNTIFS('Raw Data'!C$2:C$546,B108,'Raw Data'!L$2:L$546,"Yes")</f>
        <v/>
      </c>
      <c r="E108" s="49">
        <f>C108-D108</f>
        <v/>
      </c>
      <c r="F108" s="50">
        <f>IF(C108&gt;0,D108/C108,0)</f>
        <v/>
      </c>
    </row>
    <row r="109" ht="14" customHeight="1">
      <c r="A109" s="58" t="inlineStr">
        <is>
          <t>Application</t>
        </is>
      </c>
      <c r="B109" s="58" t="inlineStr">
        <is>
          <t>DP-SSPA-5148</t>
        </is>
      </c>
      <c r="C109" s="45">
        <f>COUNTIF('Raw Data'!C$2:C$546,B109)</f>
        <v/>
      </c>
      <c r="D109" s="45">
        <f>COUNTIFS('Raw Data'!C$2:C$546,B109,'Raw Data'!L$2:L$546,"Available")+COUNTIFS('Raw Data'!C$2:C$546,B109,'Raw Data'!L$2:L$546,"Yes")</f>
        <v/>
      </c>
      <c r="E109" s="45">
        <f>C109-D109</f>
        <v/>
      </c>
      <c r="F109" s="46">
        <f>IF(C109&gt;0,D109/C109,0)</f>
        <v/>
      </c>
    </row>
    <row r="110" ht="14" customHeight="1">
      <c r="A110" s="59" t="inlineStr">
        <is>
          <t>Application</t>
        </is>
      </c>
      <c r="B110" s="59" t="inlineStr">
        <is>
          <t>DP-TMC-8148</t>
        </is>
      </c>
      <c r="C110" s="49">
        <f>COUNTIF('Raw Data'!C$2:C$546,B110)</f>
        <v/>
      </c>
      <c r="D110" s="49">
        <f>COUNTIFS('Raw Data'!C$2:C$546,B110,'Raw Data'!L$2:L$546,"Available")+COUNTIFS('Raw Data'!C$2:C$546,B110,'Raw Data'!L$2:L$546,"Yes")</f>
        <v/>
      </c>
      <c r="E110" s="49">
        <f>C110-D110</f>
        <v/>
      </c>
      <c r="F110" s="50">
        <f>IF(C110&gt;0,D110/C110,0)</f>
        <v/>
      </c>
    </row>
    <row r="111" ht="14" customHeight="1">
      <c r="A111" s="58" t="inlineStr">
        <is>
          <t>Application</t>
        </is>
      </c>
      <c r="B111" s="58" t="inlineStr">
        <is>
          <t>DP-TRG-8184</t>
        </is>
      </c>
      <c r="C111" s="45">
        <f>COUNTIF('Raw Data'!C$2:C$546,B111)</f>
        <v/>
      </c>
      <c r="D111" s="45">
        <f>COUNTIFS('Raw Data'!C$2:C$546,B111,'Raw Data'!L$2:L$546,"Available")+COUNTIFS('Raw Data'!C$2:C$546,B111,'Raw Data'!L$2:L$546,"Yes")</f>
        <v/>
      </c>
      <c r="E111" s="45">
        <f>C111-D111</f>
        <v/>
      </c>
      <c r="F111" s="46">
        <f>IF(C111&gt;0,D111/C111,0)</f>
        <v/>
      </c>
    </row>
    <row r="112" ht="14" customHeight="1">
      <c r="A112" s="59" t="inlineStr">
        <is>
          <t>Application</t>
        </is>
      </c>
      <c r="B112" s="59" t="inlineStr">
        <is>
          <t>DP-TRG-8226</t>
        </is>
      </c>
      <c r="C112" s="49">
        <f>COUNTIF('Raw Data'!C$2:C$546,B112)</f>
        <v/>
      </c>
      <c r="D112" s="49">
        <f>COUNTIFS('Raw Data'!C$2:C$546,B112,'Raw Data'!L$2:L$546,"Available")+COUNTIFS('Raw Data'!C$2:C$546,B112,'Raw Data'!L$2:L$546,"Yes")</f>
        <v/>
      </c>
      <c r="E112" s="49">
        <f>C112-D112</f>
        <v/>
      </c>
      <c r="F112" s="50">
        <f>IF(C112&gt;0,D112/C112,0)</f>
        <v/>
      </c>
    </row>
    <row r="113" ht="14" customHeight="1">
      <c r="A113" s="58" t="inlineStr">
        <is>
          <t>Application</t>
        </is>
      </c>
      <c r="B113" s="58" t="inlineStr">
        <is>
          <t>DP-VPX-2615</t>
        </is>
      </c>
      <c r="C113" s="45">
        <f>COUNTIF('Raw Data'!C$2:C$546,B113)</f>
        <v/>
      </c>
      <c r="D113" s="45">
        <f>COUNTIFS('Raw Data'!C$2:C$546,B113,'Raw Data'!L$2:L$546,"Available")+COUNTIFS('Raw Data'!C$2:C$546,B113,'Raw Data'!L$2:L$546,"Yes")</f>
        <v/>
      </c>
      <c r="E113" s="45">
        <f>C113-D113</f>
        <v/>
      </c>
      <c r="F113" s="46">
        <f>IF(C113&gt;0,D113/C113,0)</f>
        <v/>
      </c>
    </row>
    <row r="114" ht="14" customHeight="1">
      <c r="A114" s="59" t="inlineStr">
        <is>
          <t>Application</t>
        </is>
      </c>
      <c r="B114" s="59" t="inlineStr">
        <is>
          <t>DP-VPX-5846</t>
        </is>
      </c>
      <c r="C114" s="49">
        <f>COUNTIF('Raw Data'!C$2:C$546,B114)</f>
        <v/>
      </c>
      <c r="D114" s="49">
        <f>COUNTIFS('Raw Data'!C$2:C$546,B114,'Raw Data'!L$2:L$546,"Available")+COUNTIFS('Raw Data'!C$2:C$546,B114,'Raw Data'!L$2:L$546,"Yes")</f>
        <v/>
      </c>
      <c r="E114" s="49">
        <f>C114-D114</f>
        <v/>
      </c>
      <c r="F114" s="50">
        <f>IF(C114&gt;0,D114/C114,0)</f>
        <v/>
      </c>
    </row>
    <row r="115" ht="14" customHeight="1">
      <c r="A115" s="58" t="inlineStr">
        <is>
          <t>Application</t>
        </is>
      </c>
      <c r="B115" s="58" t="inlineStr">
        <is>
          <t>Network analyzer</t>
        </is>
      </c>
      <c r="C115" s="45">
        <f>COUNTIF('Raw Data'!C$2:C$546,B115)</f>
        <v/>
      </c>
      <c r="D115" s="45">
        <f>COUNTIFS('Raw Data'!C$2:C$546,B115,'Raw Data'!L$2:L$546,"Available")+COUNTIFS('Raw Data'!C$2:C$546,B115,'Raw Data'!L$2:L$546,"Yes")</f>
        <v/>
      </c>
      <c r="E115" s="45">
        <f>C115-D115</f>
        <v/>
      </c>
      <c r="F115" s="46">
        <f>IF(C115&gt;0,D115/C115,0)</f>
        <v/>
      </c>
    </row>
    <row r="116" ht="14" customHeight="1">
      <c r="A116" s="59" t="inlineStr">
        <is>
          <t>Application</t>
        </is>
      </c>
      <c r="B116" s="59" t="inlineStr">
        <is>
          <t>PDN Config Definer</t>
        </is>
      </c>
      <c r="C116" s="49">
        <f>COUNTIF('Raw Data'!C$2:C$546,B116)</f>
        <v/>
      </c>
      <c r="D116" s="49">
        <f>COUNTIFS('Raw Data'!C$2:C$546,B116,'Raw Data'!L$2:L$546,"Available")+COUNTIFS('Raw Data'!C$2:C$546,B116,'Raw Data'!L$2:L$546,"Yes")</f>
        <v/>
      </c>
      <c r="E116" s="49">
        <f>C116-D116</f>
        <v/>
      </c>
      <c r="F116" s="50">
        <f>IF(C116&gt;0,D116/C116,0)</f>
        <v/>
      </c>
    </row>
    <row r="117" ht="14" customHeight="1">
      <c r="A117" s="58" t="inlineStr">
        <is>
          <t>Application</t>
        </is>
      </c>
      <c r="B117" s="58" t="inlineStr">
        <is>
          <t>Parameter Definer</t>
        </is>
      </c>
      <c r="C117" s="45">
        <f>COUNTIF('Raw Data'!C$2:C$546,B117)</f>
        <v/>
      </c>
      <c r="D117" s="45">
        <f>COUNTIFS('Raw Data'!C$2:C$546,B117,'Raw Data'!L$2:L$546,"Available")+COUNTIFS('Raw Data'!C$2:C$546,B117,'Raw Data'!L$2:L$546,"Yes")</f>
        <v/>
      </c>
      <c r="E117" s="45">
        <f>C117-D117</f>
        <v/>
      </c>
      <c r="F117" s="46">
        <f>IF(C117&gt;0,D117/C117,0)</f>
        <v/>
      </c>
    </row>
    <row r="118" ht="14" customHeight="1">
      <c r="A118" s="59" t="inlineStr">
        <is>
          <t>Application</t>
        </is>
      </c>
      <c r="B118" s="59" t="inlineStr">
        <is>
          <t>Power Supply Monitoring</t>
        </is>
      </c>
      <c r="C118" s="49">
        <f>COUNTIF('Raw Data'!C$2:C$546,B118)</f>
        <v/>
      </c>
      <c r="D118" s="49">
        <f>COUNTIFS('Raw Data'!C$2:C$546,B118,'Raw Data'!L$2:L$546,"Available")+COUNTIFS('Raw Data'!C$2:C$546,B118,'Raw Data'!L$2:L$546,"Yes")</f>
        <v/>
      </c>
      <c r="E118" s="49">
        <f>C118-D118</f>
        <v/>
      </c>
      <c r="F118" s="50">
        <f>IF(C118&gt;0,D118/C118,0)</f>
        <v/>
      </c>
    </row>
    <row r="119" ht="14" customHeight="1">
      <c r="A119" s="58" t="inlineStr">
        <is>
          <t>Application</t>
        </is>
      </c>
      <c r="B119" s="58" t="inlineStr">
        <is>
          <t>Power Supply Plugin</t>
        </is>
      </c>
      <c r="C119" s="45">
        <f>COUNTIF('Raw Data'!C$2:C$546,B119)</f>
        <v/>
      </c>
      <c r="D119" s="45">
        <f>COUNTIFS('Raw Data'!C$2:C$546,B119,'Raw Data'!L$2:L$546,"Available")+COUNTIFS('Raw Data'!C$2:C$546,B119,'Raw Data'!L$2:L$546,"Yes")</f>
        <v/>
      </c>
      <c r="E119" s="45">
        <f>C119-D119</f>
        <v/>
      </c>
      <c r="F119" s="46">
        <f>IF(C119&gt;0,D119/C119,0)</f>
        <v/>
      </c>
    </row>
    <row r="120" ht="14" customHeight="1">
      <c r="A120" s="59" t="inlineStr">
        <is>
          <t>Application</t>
        </is>
      </c>
      <c r="B120" s="59" t="inlineStr">
        <is>
          <t>Report Generator</t>
        </is>
      </c>
      <c r="C120" s="49">
        <f>COUNTIF('Raw Data'!C$2:C$546,B120)</f>
        <v/>
      </c>
      <c r="D120" s="49">
        <f>COUNTIFS('Raw Data'!C$2:C$546,B120,'Raw Data'!L$2:L$546,"Available")+COUNTIFS('Raw Data'!C$2:C$546,B120,'Raw Data'!L$2:L$546,"Yes")</f>
        <v/>
      </c>
      <c r="E120" s="49">
        <f>C120-D120</f>
        <v/>
      </c>
      <c r="F120" s="50">
        <f>IF(C120&gt;0,D120/C120,0)</f>
        <v/>
      </c>
    </row>
    <row r="121" ht="14" customHeight="1">
      <c r="A121" s="58" t="inlineStr">
        <is>
          <t>Application</t>
        </is>
      </c>
      <c r="B121" s="58" t="inlineStr">
        <is>
          <t>Servo App</t>
        </is>
      </c>
      <c r="C121" s="45">
        <f>COUNTIF('Raw Data'!C$2:C$546,B121)</f>
        <v/>
      </c>
      <c r="D121" s="45">
        <f>COUNTIFS('Raw Data'!C$2:C$546,B121,'Raw Data'!L$2:L$546,"Available")+COUNTIFS('Raw Data'!C$2:C$546,B121,'Raw Data'!L$2:L$546,"Yes")</f>
        <v/>
      </c>
      <c r="E121" s="45">
        <f>C121-D121</f>
        <v/>
      </c>
      <c r="F121" s="46">
        <f>IF(C121&gt;0,D121/C121,0)</f>
        <v/>
      </c>
    </row>
    <row r="122" ht="14" customHeight="1">
      <c r="A122" s="59" t="inlineStr">
        <is>
          <t>Application</t>
        </is>
      </c>
      <c r="B122" s="59" t="inlineStr">
        <is>
          <t>Template Application</t>
        </is>
      </c>
      <c r="C122" s="49">
        <f>COUNTIF('Raw Data'!C$2:C$546,B122)</f>
        <v/>
      </c>
      <c r="D122" s="49">
        <f>COUNTIFS('Raw Data'!C$2:C$546,B122,'Raw Data'!L$2:L$546,"Available")+COUNTIFS('Raw Data'!C$2:C$546,B122,'Raw Data'!L$2:L$546,"Yes")</f>
        <v/>
      </c>
      <c r="E122" s="49">
        <f>C122-D122</f>
        <v/>
      </c>
      <c r="F122" s="50">
        <f>IF(C122&gt;0,D122/C122,0)</f>
        <v/>
      </c>
    </row>
    <row r="123" ht="14" customHeight="1">
      <c r="A123" s="58" t="inlineStr">
        <is>
          <t>BSP</t>
        </is>
      </c>
      <c r="B123" s="58" t="inlineStr">
        <is>
          <t>DP-COMM-8022</t>
        </is>
      </c>
      <c r="C123" s="45">
        <f>COUNTIF('Raw Data'!C$2:C$546,B123)</f>
        <v/>
      </c>
      <c r="D123" s="45">
        <f>COUNTIFS('Raw Data'!C$2:C$546,B123,'Raw Data'!L$2:L$546,"Available")+COUNTIFS('Raw Data'!C$2:C$546,B123,'Raw Data'!L$2:L$546,"Yes")</f>
        <v/>
      </c>
      <c r="E123" s="45">
        <f>C123-D123</f>
        <v/>
      </c>
      <c r="F123" s="46">
        <f>IF(C123&gt;0,D123/C123,0)</f>
        <v/>
      </c>
    </row>
    <row r="124" ht="14" customHeight="1">
      <c r="A124" s="59" t="inlineStr">
        <is>
          <t>BSP</t>
        </is>
      </c>
      <c r="B124" s="59" t="inlineStr">
        <is>
          <t>DP-COMM-8031</t>
        </is>
      </c>
      <c r="C124" s="49">
        <f>COUNTIF('Raw Data'!C$2:C$546,B124)</f>
        <v/>
      </c>
      <c r="D124" s="49">
        <f>COUNTIFS('Raw Data'!C$2:C$546,B124,'Raw Data'!L$2:L$546,"Available")+COUNTIFS('Raw Data'!C$2:C$546,B124,'Raw Data'!L$2:L$546,"Yes")</f>
        <v/>
      </c>
      <c r="E124" s="49">
        <f>C124-D124</f>
        <v/>
      </c>
      <c r="F124" s="50">
        <f>IF(C124&gt;0,D124/C124,0)</f>
        <v/>
      </c>
    </row>
    <row r="125" ht="14" customHeight="1">
      <c r="A125" s="58" t="inlineStr">
        <is>
          <t>BSP</t>
        </is>
      </c>
      <c r="B125" s="58" t="inlineStr">
        <is>
          <t>DP-COMM-8076</t>
        </is>
      </c>
      <c r="C125" s="45">
        <f>COUNTIF('Raw Data'!C$2:C$546,B125)</f>
        <v/>
      </c>
      <c r="D125" s="45">
        <f>COUNTIFS('Raw Data'!C$2:C$546,B125,'Raw Data'!L$2:L$546,"Available")+COUNTIFS('Raw Data'!C$2:C$546,B125,'Raw Data'!L$2:L$546,"Yes")</f>
        <v/>
      </c>
      <c r="E125" s="45">
        <f>C125-D125</f>
        <v/>
      </c>
      <c r="F125" s="46">
        <f>IF(C125&gt;0,D125/C125,0)</f>
        <v/>
      </c>
    </row>
    <row r="126" ht="14" customHeight="1">
      <c r="A126" s="59" t="inlineStr">
        <is>
          <t>BSP</t>
        </is>
      </c>
      <c r="B126" s="59" t="inlineStr">
        <is>
          <t>DP-COMM-8079</t>
        </is>
      </c>
      <c r="C126" s="49">
        <f>COUNTIF('Raw Data'!C$2:C$546,B126)</f>
        <v/>
      </c>
      <c r="D126" s="49">
        <f>COUNTIFS('Raw Data'!C$2:C$546,B126,'Raw Data'!L$2:L$546,"Available")+COUNTIFS('Raw Data'!C$2:C$546,B126,'Raw Data'!L$2:L$546,"Yes")</f>
        <v/>
      </c>
      <c r="E126" s="49">
        <f>C126-D126</f>
        <v/>
      </c>
      <c r="F126" s="50">
        <f>IF(C126&gt;0,D126/C126,0)</f>
        <v/>
      </c>
    </row>
    <row r="127" ht="14" customHeight="1">
      <c r="A127" s="58" t="inlineStr">
        <is>
          <t>BSP</t>
        </is>
      </c>
      <c r="B127" s="58" t="inlineStr">
        <is>
          <t>DP-OBC-0453</t>
        </is>
      </c>
      <c r="C127" s="45">
        <f>COUNTIF('Raw Data'!C$2:C$546,B127)</f>
        <v/>
      </c>
      <c r="D127" s="45">
        <f>COUNTIFS('Raw Data'!C$2:C$546,B127,'Raw Data'!L$2:L$546,"Available")+COUNTIFS('Raw Data'!C$2:C$546,B127,'Raw Data'!L$2:L$546,"Yes")</f>
        <v/>
      </c>
      <c r="E127" s="45">
        <f>C127-D127</f>
        <v/>
      </c>
      <c r="F127" s="46">
        <f>IF(C127&gt;0,D127/C127,0)</f>
        <v/>
      </c>
    </row>
    <row r="128" ht="14" customHeight="1">
      <c r="A128" s="59" t="inlineStr">
        <is>
          <t>BSP</t>
        </is>
      </c>
      <c r="B128" s="59" t="inlineStr">
        <is>
          <t>DP-OBC-1014</t>
        </is>
      </c>
      <c r="C128" s="49">
        <f>COUNTIF('Raw Data'!C$2:C$546,B128)</f>
        <v/>
      </c>
      <c r="D128" s="49">
        <f>COUNTIFS('Raw Data'!C$2:C$546,B128,'Raw Data'!L$2:L$546,"Available")+COUNTIFS('Raw Data'!C$2:C$546,B128,'Raw Data'!L$2:L$546,"Yes")</f>
        <v/>
      </c>
      <c r="E128" s="49">
        <f>C128-D128</f>
        <v/>
      </c>
      <c r="F128" s="50">
        <f>IF(C128&gt;0,D128/C128,0)</f>
        <v/>
      </c>
    </row>
    <row r="129" ht="14" customHeight="1">
      <c r="A129" s="58" t="inlineStr">
        <is>
          <t>BSP</t>
        </is>
      </c>
      <c r="B129" s="58" t="inlineStr">
        <is>
          <t>DP-OBC-5118</t>
        </is>
      </c>
      <c r="C129" s="45">
        <f>COUNTIF('Raw Data'!C$2:C$546,B129)</f>
        <v/>
      </c>
      <c r="D129" s="45">
        <f>COUNTIFS('Raw Data'!C$2:C$546,B129,'Raw Data'!L$2:L$546,"Available")+COUNTIFS('Raw Data'!C$2:C$546,B129,'Raw Data'!L$2:L$546,"Yes")</f>
        <v/>
      </c>
      <c r="E129" s="45">
        <f>C129-D129</f>
        <v/>
      </c>
      <c r="F129" s="46">
        <f>IF(C129&gt;0,D129/C129,0)</f>
        <v/>
      </c>
    </row>
    <row r="130" ht="14" customHeight="1">
      <c r="A130" s="59" t="inlineStr">
        <is>
          <t>BSP</t>
        </is>
      </c>
      <c r="B130" s="59" t="inlineStr">
        <is>
          <t>DP-OBC-8103</t>
        </is>
      </c>
      <c r="C130" s="49">
        <f>COUNTIF('Raw Data'!C$2:C$546,B130)</f>
        <v/>
      </c>
      <c r="D130" s="49">
        <f>COUNTIFS('Raw Data'!C$2:C$546,B130,'Raw Data'!L$2:L$546,"Available")+COUNTIFS('Raw Data'!C$2:C$546,B130,'Raw Data'!L$2:L$546,"Yes")</f>
        <v/>
      </c>
      <c r="E130" s="49">
        <f>C130-D130</f>
        <v/>
      </c>
      <c r="F130" s="50">
        <f>IF(C130&gt;0,D130/C130,0)</f>
        <v/>
      </c>
    </row>
    <row r="131" ht="14" customHeight="1">
      <c r="A131" s="58" t="inlineStr">
        <is>
          <t>BSP</t>
        </is>
      </c>
      <c r="B131" s="58" t="inlineStr">
        <is>
          <t>DP-OBC-8163</t>
        </is>
      </c>
      <c r="C131" s="45">
        <f>COUNTIF('Raw Data'!C$2:C$546,B131)</f>
        <v/>
      </c>
      <c r="D131" s="45">
        <f>COUNTIFS('Raw Data'!C$2:C$546,B131,'Raw Data'!L$2:L$546,"Available")+COUNTIFS('Raw Data'!C$2:C$546,B131,'Raw Data'!L$2:L$546,"Yes")</f>
        <v/>
      </c>
      <c r="E131" s="45">
        <f>C131-D131</f>
        <v/>
      </c>
      <c r="F131" s="46">
        <f>IF(C131&gt;0,D131/C131,0)</f>
        <v/>
      </c>
    </row>
    <row r="132" ht="14" customHeight="1">
      <c r="A132" s="59" t="inlineStr">
        <is>
          <t>BSP</t>
        </is>
      </c>
      <c r="B132" s="59" t="inlineStr">
        <is>
          <t>DP-OBC-8205</t>
        </is>
      </c>
      <c r="C132" s="49">
        <f>COUNTIF('Raw Data'!C$2:C$546,B132)</f>
        <v/>
      </c>
      <c r="D132" s="49">
        <f>COUNTIFS('Raw Data'!C$2:C$546,B132,'Raw Data'!L$2:L$546,"Available")+COUNTIFS('Raw Data'!C$2:C$546,B132,'Raw Data'!L$2:L$546,"Yes")</f>
        <v/>
      </c>
      <c r="E132" s="49">
        <f>C132-D132</f>
        <v/>
      </c>
      <c r="F132" s="50">
        <f>IF(C132&gt;0,D132/C132,0)</f>
        <v/>
      </c>
    </row>
    <row r="133" ht="14" customHeight="1">
      <c r="A133" s="58" t="inlineStr">
        <is>
          <t>BSP</t>
        </is>
      </c>
      <c r="B133" s="58" t="inlineStr">
        <is>
          <t>DP-SPL-0124</t>
        </is>
      </c>
      <c r="C133" s="45">
        <f>COUNTIF('Raw Data'!C$2:C$546,B133)</f>
        <v/>
      </c>
      <c r="D133" s="45">
        <f>COUNTIFS('Raw Data'!C$2:C$546,B133,'Raw Data'!L$2:L$546,"Available")+COUNTIFS('Raw Data'!C$2:C$546,B133,'Raw Data'!L$2:L$546,"Yes")</f>
        <v/>
      </c>
      <c r="E133" s="45">
        <f>C133-D133</f>
        <v/>
      </c>
      <c r="F133" s="46">
        <f>IF(C133&gt;0,D133/C133,0)</f>
        <v/>
      </c>
    </row>
    <row r="134" ht="14" customHeight="1">
      <c r="A134" s="59" t="inlineStr">
        <is>
          <t>BSP</t>
        </is>
      </c>
      <c r="B134" s="59" t="inlineStr">
        <is>
          <t>DP-SPL-3511</t>
        </is>
      </c>
      <c r="C134" s="49">
        <f>COUNTIF('Raw Data'!C$2:C$546,B134)</f>
        <v/>
      </c>
      <c r="D134" s="49">
        <f>COUNTIFS('Raw Data'!C$2:C$546,B134,'Raw Data'!L$2:L$546,"Available")+COUNTIFS('Raw Data'!C$2:C$546,B134,'Raw Data'!L$2:L$546,"Yes")</f>
        <v/>
      </c>
      <c r="E134" s="49">
        <f>C134-D134</f>
        <v/>
      </c>
      <c r="F134" s="50">
        <f>IF(C134&gt;0,D134/C134,0)</f>
        <v/>
      </c>
    </row>
    <row r="135" ht="14" customHeight="1">
      <c r="A135" s="58" t="inlineStr">
        <is>
          <t>BSP</t>
        </is>
      </c>
      <c r="B135" s="58" t="inlineStr">
        <is>
          <t>DP-SPL-4021</t>
        </is>
      </c>
      <c r="C135" s="45">
        <f>COUNTIF('Raw Data'!C$2:C$546,B135)</f>
        <v/>
      </c>
      <c r="D135" s="45">
        <f>COUNTIFS('Raw Data'!C$2:C$546,B135,'Raw Data'!L$2:L$546,"Available")+COUNTIFS('Raw Data'!C$2:C$546,B135,'Raw Data'!L$2:L$546,"Yes")</f>
        <v/>
      </c>
      <c r="E135" s="45">
        <f>C135-D135</f>
        <v/>
      </c>
      <c r="F135" s="46">
        <f>IF(C135&gt;0,D135/C135,0)</f>
        <v/>
      </c>
    </row>
    <row r="136" ht="14" customHeight="1">
      <c r="A136" s="59" t="inlineStr">
        <is>
          <t>BSP</t>
        </is>
      </c>
      <c r="B136" s="59" t="inlineStr">
        <is>
          <t>DP-SPL-4039</t>
        </is>
      </c>
      <c r="C136" s="49">
        <f>COUNTIF('Raw Data'!C$2:C$546,B136)</f>
        <v/>
      </c>
      <c r="D136" s="49">
        <f>COUNTIFS('Raw Data'!C$2:C$546,B136,'Raw Data'!L$2:L$546,"Available")+COUNTIFS('Raw Data'!C$2:C$546,B136,'Raw Data'!L$2:L$546,"Yes")</f>
        <v/>
      </c>
      <c r="E136" s="49">
        <f>C136-D136</f>
        <v/>
      </c>
      <c r="F136" s="50">
        <f>IF(C136&gt;0,D136/C136,0)</f>
        <v/>
      </c>
    </row>
    <row r="137" ht="14" customHeight="1">
      <c r="A137" s="58" t="inlineStr">
        <is>
          <t>BSP</t>
        </is>
      </c>
      <c r="B137" s="58" t="inlineStr">
        <is>
          <t>DP-SPL-4507</t>
        </is>
      </c>
      <c r="C137" s="45">
        <f>COUNTIF('Raw Data'!C$2:C$546,B137)</f>
        <v/>
      </c>
      <c r="D137" s="45">
        <f>COUNTIFS('Raw Data'!C$2:C$546,B137,'Raw Data'!L$2:L$546,"Available")+COUNTIFS('Raw Data'!C$2:C$546,B137,'Raw Data'!L$2:L$546,"Yes")</f>
        <v/>
      </c>
      <c r="E137" s="45">
        <f>C137-D137</f>
        <v/>
      </c>
      <c r="F137" s="46">
        <f>IF(C137&gt;0,D137/C137,0)</f>
        <v/>
      </c>
    </row>
    <row r="138" ht="14" customHeight="1">
      <c r="A138" s="59" t="inlineStr">
        <is>
          <t>BSP</t>
        </is>
      </c>
      <c r="B138" s="59" t="inlineStr">
        <is>
          <t>DP-VME-0669</t>
        </is>
      </c>
      <c r="C138" s="49">
        <f>COUNTIF('Raw Data'!C$2:C$546,B138)</f>
        <v/>
      </c>
      <c r="D138" s="49">
        <f>COUNTIFS('Raw Data'!C$2:C$546,B138,'Raw Data'!L$2:L$546,"Available")+COUNTIFS('Raw Data'!C$2:C$546,B138,'Raw Data'!L$2:L$546,"Yes")</f>
        <v/>
      </c>
      <c r="E138" s="49">
        <f>C138-D138</f>
        <v/>
      </c>
      <c r="F138" s="50">
        <f>IF(C138&gt;0,D138/C138,0)</f>
        <v/>
      </c>
    </row>
    <row r="139" ht="14" customHeight="1">
      <c r="A139" s="58" t="inlineStr">
        <is>
          <t>BSP</t>
        </is>
      </c>
      <c r="B139" s="58" t="inlineStr">
        <is>
          <t>DP-VPX-0701</t>
        </is>
      </c>
      <c r="C139" s="45">
        <f>COUNTIF('Raw Data'!C$2:C$546,B139)</f>
        <v/>
      </c>
      <c r="D139" s="45">
        <f>COUNTIFS('Raw Data'!C$2:C$546,B139,'Raw Data'!L$2:L$546,"Available")+COUNTIFS('Raw Data'!C$2:C$546,B139,'Raw Data'!L$2:L$546,"Yes")</f>
        <v/>
      </c>
      <c r="E139" s="45">
        <f>C139-D139</f>
        <v/>
      </c>
      <c r="F139" s="46">
        <f>IF(C139&gt;0,D139/C139,0)</f>
        <v/>
      </c>
    </row>
    <row r="140" ht="14" customHeight="1">
      <c r="A140" s="59" t="inlineStr">
        <is>
          <t>BSP</t>
        </is>
      </c>
      <c r="B140" s="59" t="inlineStr">
        <is>
          <t>DP-VPX-0930</t>
        </is>
      </c>
      <c r="C140" s="49">
        <f>COUNTIF('Raw Data'!C$2:C$546,B140)</f>
        <v/>
      </c>
      <c r="D140" s="49">
        <f>COUNTIFS('Raw Data'!C$2:C$546,B140,'Raw Data'!L$2:L$546,"Available")+COUNTIFS('Raw Data'!C$2:C$546,B140,'Raw Data'!L$2:L$546,"Yes")</f>
        <v/>
      </c>
      <c r="E140" s="49">
        <f>C140-D140</f>
        <v/>
      </c>
      <c r="F140" s="50">
        <f>IF(C140&gt;0,D140/C140,0)</f>
        <v/>
      </c>
    </row>
    <row r="141" ht="14" customHeight="1">
      <c r="A141" s="58" t="inlineStr">
        <is>
          <t>BSP</t>
        </is>
      </c>
      <c r="B141" s="58" t="inlineStr">
        <is>
          <t>DP-VPX-0972</t>
        </is>
      </c>
      <c r="C141" s="45">
        <f>COUNTIF('Raw Data'!C$2:C$546,B141)</f>
        <v/>
      </c>
      <c r="D141" s="45">
        <f>COUNTIFS('Raw Data'!C$2:C$546,B141,'Raw Data'!L$2:L$546,"Available")+COUNTIFS('Raw Data'!C$2:C$546,B141,'Raw Data'!L$2:L$546,"Yes")</f>
        <v/>
      </c>
      <c r="E141" s="45">
        <f>C141-D141</f>
        <v/>
      </c>
      <c r="F141" s="46">
        <f>IF(C141&gt;0,D141/C141,0)</f>
        <v/>
      </c>
    </row>
    <row r="142" ht="14" customHeight="1">
      <c r="A142" s="59" t="inlineStr">
        <is>
          <t>BSP</t>
        </is>
      </c>
      <c r="B142" s="59" t="inlineStr">
        <is>
          <t>DP-VPX-1025</t>
        </is>
      </c>
      <c r="C142" s="49">
        <f>COUNTIF('Raw Data'!C$2:C$546,B142)</f>
        <v/>
      </c>
      <c r="D142" s="49">
        <f>COUNTIFS('Raw Data'!C$2:C$546,B142,'Raw Data'!L$2:L$546,"Available")+COUNTIFS('Raw Data'!C$2:C$546,B142,'Raw Data'!L$2:L$546,"Yes")</f>
        <v/>
      </c>
      <c r="E142" s="49">
        <f>C142-D142</f>
        <v/>
      </c>
      <c r="F142" s="50">
        <f>IF(C142&gt;0,D142/C142,0)</f>
        <v/>
      </c>
    </row>
    <row r="143" ht="14" customHeight="1">
      <c r="A143" s="58" t="inlineStr">
        <is>
          <t>BSP</t>
        </is>
      </c>
      <c r="B143" s="58" t="inlineStr">
        <is>
          <t>DP-VPX-1028</t>
        </is>
      </c>
      <c r="C143" s="45">
        <f>COUNTIF('Raw Data'!C$2:C$546,B143)</f>
        <v/>
      </c>
      <c r="D143" s="45">
        <f>COUNTIFS('Raw Data'!C$2:C$546,B143,'Raw Data'!L$2:L$546,"Available")+COUNTIFS('Raw Data'!C$2:C$546,B143,'Raw Data'!L$2:L$546,"Yes")</f>
        <v/>
      </c>
      <c r="E143" s="45">
        <f>C143-D143</f>
        <v/>
      </c>
      <c r="F143" s="46">
        <f>IF(C143&gt;0,D143/C143,0)</f>
        <v/>
      </c>
    </row>
    <row r="144" ht="14" customHeight="1">
      <c r="A144" s="59" t="inlineStr">
        <is>
          <t>BSP</t>
        </is>
      </c>
      <c r="B144" s="59" t="inlineStr">
        <is>
          <t>DP-VPX-3608</t>
        </is>
      </c>
      <c r="C144" s="49">
        <f>COUNTIF('Raw Data'!C$2:C$546,B144)</f>
        <v/>
      </c>
      <c r="D144" s="49">
        <f>COUNTIFS('Raw Data'!C$2:C$546,B144,'Raw Data'!L$2:L$546,"Available")+COUNTIFS('Raw Data'!C$2:C$546,B144,'Raw Data'!L$2:L$546,"Yes")</f>
        <v/>
      </c>
      <c r="E144" s="49">
        <f>C144-D144</f>
        <v/>
      </c>
      <c r="F144" s="50">
        <f>IF(C144&gt;0,D144/C144,0)</f>
        <v/>
      </c>
    </row>
    <row r="145" ht="14" customHeight="1">
      <c r="A145" s="58" t="inlineStr">
        <is>
          <t>BSP</t>
        </is>
      </c>
      <c r="B145" s="58" t="inlineStr">
        <is>
          <t>DP-VPX-3611</t>
        </is>
      </c>
      <c r="C145" s="45">
        <f>COUNTIF('Raw Data'!C$2:C$546,B145)</f>
        <v/>
      </c>
      <c r="D145" s="45">
        <f>COUNTIFS('Raw Data'!C$2:C$546,B145,'Raw Data'!L$2:L$546,"Available")+COUNTIFS('Raw Data'!C$2:C$546,B145,'Raw Data'!L$2:L$546,"Yes")</f>
        <v/>
      </c>
      <c r="E145" s="45">
        <f>C145-D145</f>
        <v/>
      </c>
      <c r="F145" s="46">
        <f>IF(C145&gt;0,D145/C145,0)</f>
        <v/>
      </c>
    </row>
    <row r="146" ht="14" customHeight="1">
      <c r="A146" s="59" t="inlineStr">
        <is>
          <t>BSP</t>
        </is>
      </c>
      <c r="B146" s="59" t="inlineStr">
        <is>
          <t>DP-VPX-5294</t>
        </is>
      </c>
      <c r="C146" s="49">
        <f>COUNTIF('Raw Data'!C$2:C$546,B146)</f>
        <v/>
      </c>
      <c r="D146" s="49">
        <f>COUNTIFS('Raw Data'!C$2:C$546,B146,'Raw Data'!L$2:L$546,"Available")+COUNTIFS('Raw Data'!C$2:C$546,B146,'Raw Data'!L$2:L$546,"Yes")</f>
        <v/>
      </c>
      <c r="E146" s="49">
        <f>C146-D146</f>
        <v/>
      </c>
      <c r="F146" s="50">
        <f>IF(C146&gt;0,D146/C146,0)</f>
        <v/>
      </c>
    </row>
    <row r="147" ht="14" customHeight="1">
      <c r="A147" s="58" t="inlineStr">
        <is>
          <t>BSP</t>
        </is>
      </c>
      <c r="B147" s="58" t="inlineStr">
        <is>
          <t>DP-XMC-5007</t>
        </is>
      </c>
      <c r="C147" s="45">
        <f>COUNTIF('Raw Data'!C$2:C$546,B147)</f>
        <v/>
      </c>
      <c r="D147" s="45">
        <f>COUNTIFS('Raw Data'!C$2:C$546,B147,'Raw Data'!L$2:L$546,"Available")+COUNTIFS('Raw Data'!C$2:C$546,B147,'Raw Data'!L$2:L$546,"Yes")</f>
        <v/>
      </c>
      <c r="E147" s="45">
        <f>C147-D147</f>
        <v/>
      </c>
      <c r="F147" s="46">
        <f>IF(C147&gt;0,D147/C147,0)</f>
        <v/>
      </c>
    </row>
    <row r="148" ht="14" customHeight="1">
      <c r="A148" s="59" t="inlineStr">
        <is>
          <t>BSP</t>
        </is>
      </c>
      <c r="B148" s="59" t="inlineStr">
        <is>
          <t>DP-XMC-5010</t>
        </is>
      </c>
      <c r="C148" s="49">
        <f>COUNTIF('Raw Data'!C$2:C$546,B148)</f>
        <v/>
      </c>
      <c r="D148" s="49">
        <f>COUNTIFS('Raw Data'!C$2:C$546,B148,'Raw Data'!L$2:L$546,"Available")+COUNTIFS('Raw Data'!C$2:C$546,B148,'Raw Data'!L$2:L$546,"Yes")</f>
        <v/>
      </c>
      <c r="E148" s="49">
        <f>C148-D148</f>
        <v/>
      </c>
      <c r="F148" s="50">
        <f>IF(C148&gt;0,D148/C148,0)</f>
        <v/>
      </c>
    </row>
    <row r="149" ht="14" customHeight="1">
      <c r="A149" s="58" t="inlineStr">
        <is>
          <t>BSP</t>
        </is>
      </c>
      <c r="B149" s="58" t="inlineStr">
        <is>
          <t>DP-XMC-5046</t>
        </is>
      </c>
      <c r="C149" s="45">
        <f>COUNTIF('Raw Data'!C$2:C$546,B149)</f>
        <v/>
      </c>
      <c r="D149" s="45">
        <f>COUNTIFS('Raw Data'!C$2:C$546,B149,'Raw Data'!L$2:L$546,"Available")+COUNTIFS('Raw Data'!C$2:C$546,B149,'Raw Data'!L$2:L$546,"Yes")</f>
        <v/>
      </c>
      <c r="E149" s="45">
        <f>C149-D149</f>
        <v/>
      </c>
      <c r="F149" s="46">
        <f>IF(C149&gt;0,D149/C149,0)</f>
        <v/>
      </c>
    </row>
    <row r="150" ht="14" customHeight="1">
      <c r="A150" s="59" t="inlineStr">
        <is>
          <t>BSP</t>
        </is>
      </c>
      <c r="B150" s="59" t="inlineStr">
        <is>
          <t>DP-XMC-5535</t>
        </is>
      </c>
      <c r="C150" s="49">
        <f>COUNTIF('Raw Data'!C$2:C$546,B150)</f>
        <v/>
      </c>
      <c r="D150" s="49">
        <f>COUNTIFS('Raw Data'!C$2:C$546,B150,'Raw Data'!L$2:L$546,"Available")+COUNTIFS('Raw Data'!C$2:C$546,B150,'Raw Data'!L$2:L$546,"Yes")</f>
        <v/>
      </c>
      <c r="E150" s="49">
        <f>C150-D150</f>
        <v/>
      </c>
      <c r="F150" s="50">
        <f>IF(C150&gt;0,D150/C150,0)</f>
        <v/>
      </c>
    </row>
    <row r="151" ht="14" customHeight="1">
      <c r="A151" s="58" t="inlineStr">
        <is>
          <t>BSP</t>
        </is>
      </c>
      <c r="B151" s="58" t="inlineStr">
        <is>
          <t>DP-XMC-5775</t>
        </is>
      </c>
      <c r="C151" s="45">
        <f>COUNTIF('Raw Data'!C$2:C$546,B151)</f>
        <v/>
      </c>
      <c r="D151" s="45">
        <f>COUNTIFS('Raw Data'!C$2:C$546,B151,'Raw Data'!L$2:L$546,"Available")+COUNTIFS('Raw Data'!C$2:C$546,B151,'Raw Data'!L$2:L$546,"Yes")</f>
        <v/>
      </c>
      <c r="E151" s="45">
        <f>C151-D151</f>
        <v/>
      </c>
      <c r="F151" s="46">
        <f>IF(C151&gt;0,D151/C151,0)</f>
        <v/>
      </c>
    </row>
    <row r="152" ht="14" customHeight="1">
      <c r="A152" s="59" t="inlineStr">
        <is>
          <t>BSP</t>
        </is>
      </c>
      <c r="B152" s="59" t="inlineStr">
        <is>
          <t>DP-XMC-6000</t>
        </is>
      </c>
      <c r="C152" s="49">
        <f>COUNTIF('Raw Data'!C$2:C$546,B152)</f>
        <v/>
      </c>
      <c r="D152" s="49">
        <f>COUNTIFS('Raw Data'!C$2:C$546,B152,'Raw Data'!L$2:L$546,"Available")+COUNTIFS('Raw Data'!C$2:C$546,B152,'Raw Data'!L$2:L$546,"Yes")</f>
        <v/>
      </c>
      <c r="E152" s="49">
        <f>C152-D152</f>
        <v/>
      </c>
      <c r="F152" s="50">
        <f>IF(C152&gt;0,D152/C152,0)</f>
        <v/>
      </c>
    </row>
    <row r="153" ht="14" customHeight="1">
      <c r="A153" s="58" t="inlineStr">
        <is>
          <t>BSP</t>
        </is>
      </c>
      <c r="B153" s="58" t="inlineStr">
        <is>
          <t>SCA</t>
        </is>
      </c>
      <c r="C153" s="45">
        <f>COUNTIF('Raw Data'!C$2:C$546,B153)</f>
        <v/>
      </c>
      <c r="D153" s="45">
        <f>COUNTIFS('Raw Data'!C$2:C$546,B153,'Raw Data'!L$2:L$546,"Available")+COUNTIFS('Raw Data'!C$2:C$546,B153,'Raw Data'!L$2:L$546,"Yes")</f>
        <v/>
      </c>
      <c r="E153" s="45">
        <f>C153-D153</f>
        <v/>
      </c>
      <c r="F153" s="46">
        <f>IF(C153&gt;0,D153/C153,0)</f>
        <v/>
      </c>
    </row>
    <row r="154" ht="14" customHeight="1">
      <c r="A154" s="59" t="inlineStr">
        <is>
          <t>Computing</t>
        </is>
      </c>
      <c r="B154" s="59" t="inlineStr">
        <is>
          <t>DP-ATE-8486</t>
        </is>
      </c>
      <c r="C154" s="49">
        <f>COUNTIF('Raw Data'!C$2:C$546,B154)</f>
        <v/>
      </c>
      <c r="D154" s="49">
        <f>COUNTIFS('Raw Data'!C$2:C$546,B154,'Raw Data'!L$2:L$546,"Available")+COUNTIFS('Raw Data'!C$2:C$546,B154,'Raw Data'!L$2:L$546,"Yes")</f>
        <v/>
      </c>
      <c r="E154" s="49">
        <f>C154-D154</f>
        <v/>
      </c>
      <c r="F154" s="50">
        <f>IF(C154&gt;0,D154/C154,0)</f>
        <v/>
      </c>
    </row>
    <row r="155" ht="14" customHeight="1">
      <c r="A155" s="58" t="inlineStr">
        <is>
          <t>Computing</t>
        </is>
      </c>
      <c r="B155" s="58" t="inlineStr">
        <is>
          <t>DP-DSP-8208</t>
        </is>
      </c>
      <c r="C155" s="45">
        <f>COUNTIF('Raw Data'!C$2:C$546,B155)</f>
        <v/>
      </c>
      <c r="D155" s="45">
        <f>COUNTIFS('Raw Data'!C$2:C$546,B155,'Raw Data'!L$2:L$546,"Available")+COUNTIFS('Raw Data'!C$2:C$546,B155,'Raw Data'!L$2:L$546,"Yes")</f>
        <v/>
      </c>
      <c r="E155" s="45">
        <f>C155-D155</f>
        <v/>
      </c>
      <c r="F155" s="46">
        <f>IF(C155&gt;0,D155/C155,0)</f>
        <v/>
      </c>
    </row>
    <row r="156" ht="14" customHeight="1">
      <c r="A156" s="59" t="inlineStr">
        <is>
          <t>Computing</t>
        </is>
      </c>
      <c r="B156" s="59" t="inlineStr">
        <is>
          <t>DP-OBC-8178</t>
        </is>
      </c>
      <c r="C156" s="49">
        <f>COUNTIF('Raw Data'!C$2:C$546,B156)</f>
        <v/>
      </c>
      <c r="D156" s="49">
        <f>COUNTIFS('Raw Data'!C$2:C$546,B156,'Raw Data'!L$2:L$546,"Available")+COUNTIFS('Raw Data'!C$2:C$546,B156,'Raw Data'!L$2:L$546,"Yes")</f>
        <v/>
      </c>
      <c r="E156" s="49">
        <f>C156-D156</f>
        <v/>
      </c>
      <c r="F156" s="50">
        <f>IF(C156&gt;0,D156/C156,0)</f>
        <v/>
      </c>
    </row>
    <row r="157" ht="14" customHeight="1">
      <c r="A157" s="58" t="inlineStr">
        <is>
          <t>Computing</t>
        </is>
      </c>
      <c r="B157" s="58" t="inlineStr">
        <is>
          <t>DP-OBC-8196</t>
        </is>
      </c>
      <c r="C157" s="45">
        <f>COUNTIF('Raw Data'!C$2:C$546,B157)</f>
        <v/>
      </c>
      <c r="D157" s="45">
        <f>COUNTIFS('Raw Data'!C$2:C$546,B157,'Raw Data'!L$2:L$546,"Available")+COUNTIFS('Raw Data'!C$2:C$546,B157,'Raw Data'!L$2:L$546,"Yes")</f>
        <v/>
      </c>
      <c r="E157" s="45">
        <f>C157-D157</f>
        <v/>
      </c>
      <c r="F157" s="46">
        <f>IF(C157&gt;0,D157/C157,0)</f>
        <v/>
      </c>
    </row>
    <row r="158" ht="14" customHeight="1">
      <c r="A158" s="59" t="inlineStr">
        <is>
          <t>Computing</t>
        </is>
      </c>
      <c r="B158" s="59" t="inlineStr">
        <is>
          <t>DP-OBC-8211</t>
        </is>
      </c>
      <c r="C158" s="49">
        <f>COUNTIF('Raw Data'!C$2:C$546,B158)</f>
        <v/>
      </c>
      <c r="D158" s="49">
        <f>COUNTIFS('Raw Data'!C$2:C$546,B158,'Raw Data'!L$2:L$546,"Available")+COUNTIFS('Raw Data'!C$2:C$546,B158,'Raw Data'!L$2:L$546,"Yes")</f>
        <v/>
      </c>
      <c r="E158" s="49">
        <f>C158-D158</f>
        <v/>
      </c>
      <c r="F158" s="50">
        <f>IF(C158&gt;0,D158/C158,0)</f>
        <v/>
      </c>
    </row>
    <row r="159" ht="14" customHeight="1">
      <c r="A159" s="58" t="inlineStr">
        <is>
          <t>Computing</t>
        </is>
      </c>
      <c r="B159" s="58" t="inlineStr">
        <is>
          <t>DP-SPL-0238</t>
        </is>
      </c>
      <c r="C159" s="45">
        <f>COUNTIF('Raw Data'!C$2:C$546,B159)</f>
        <v/>
      </c>
      <c r="D159" s="45">
        <f>COUNTIFS('Raw Data'!C$2:C$546,B159,'Raw Data'!L$2:L$546,"Available")+COUNTIFS('Raw Data'!C$2:C$546,B159,'Raw Data'!L$2:L$546,"Yes")</f>
        <v/>
      </c>
      <c r="E159" s="45">
        <f>C159-D159</f>
        <v/>
      </c>
      <c r="F159" s="46">
        <f>IF(C159&gt;0,D159/C159,0)</f>
        <v/>
      </c>
    </row>
    <row r="160" ht="14" customHeight="1">
      <c r="A160" s="59" t="inlineStr">
        <is>
          <t>Computing</t>
        </is>
      </c>
      <c r="B160" s="59" t="inlineStr">
        <is>
          <t>DP-SPL-0241</t>
        </is>
      </c>
      <c r="C160" s="49">
        <f>COUNTIF('Raw Data'!C$2:C$546,B160)</f>
        <v/>
      </c>
      <c r="D160" s="49">
        <f>COUNTIFS('Raw Data'!C$2:C$546,B160,'Raw Data'!L$2:L$546,"Available")+COUNTIFS('Raw Data'!C$2:C$546,B160,'Raw Data'!L$2:L$546,"Yes")</f>
        <v/>
      </c>
      <c r="E160" s="49">
        <f>C160-D160</f>
        <v/>
      </c>
      <c r="F160" s="50">
        <f>IF(C160&gt;0,D160/C160,0)</f>
        <v/>
      </c>
    </row>
    <row r="161" ht="14" customHeight="1">
      <c r="A161" s="58" t="inlineStr">
        <is>
          <t>Computing</t>
        </is>
      </c>
      <c r="B161" s="58" t="inlineStr">
        <is>
          <t>DP-SPL-0244</t>
        </is>
      </c>
      <c r="C161" s="45">
        <f>COUNTIF('Raw Data'!C$2:C$546,B161)</f>
        <v/>
      </c>
      <c r="D161" s="45">
        <f>COUNTIFS('Raw Data'!C$2:C$546,B161,'Raw Data'!L$2:L$546,"Available")+COUNTIFS('Raw Data'!C$2:C$546,B161,'Raw Data'!L$2:L$546,"Yes")</f>
        <v/>
      </c>
      <c r="E161" s="45">
        <f>C161-D161</f>
        <v/>
      </c>
      <c r="F161" s="46">
        <f>IF(C161&gt;0,D161/C161,0)</f>
        <v/>
      </c>
    </row>
    <row r="162" ht="14" customHeight="1">
      <c r="A162" s="59" t="inlineStr">
        <is>
          <t>Computing</t>
        </is>
      </c>
      <c r="B162" s="59" t="inlineStr">
        <is>
          <t>DP-SPL-0502</t>
        </is>
      </c>
      <c r="C162" s="49">
        <f>COUNTIF('Raw Data'!C$2:C$546,B162)</f>
        <v/>
      </c>
      <c r="D162" s="49">
        <f>COUNTIFS('Raw Data'!C$2:C$546,B162,'Raw Data'!L$2:L$546,"Available")+COUNTIFS('Raw Data'!C$2:C$546,B162,'Raw Data'!L$2:L$546,"Yes")</f>
        <v/>
      </c>
      <c r="E162" s="49">
        <f>C162-D162</f>
        <v/>
      </c>
      <c r="F162" s="50">
        <f>IF(C162&gt;0,D162/C162,0)</f>
        <v/>
      </c>
    </row>
    <row r="163" ht="14" customHeight="1">
      <c r="A163" s="58" t="inlineStr">
        <is>
          <t>Computing</t>
        </is>
      </c>
      <c r="B163" s="58" t="inlineStr">
        <is>
          <t>DP-SPL-4309</t>
        </is>
      </c>
      <c r="C163" s="45">
        <f>COUNTIF('Raw Data'!C$2:C$546,B163)</f>
        <v/>
      </c>
      <c r="D163" s="45">
        <f>COUNTIFS('Raw Data'!C$2:C$546,B163,'Raw Data'!L$2:L$546,"Available")+COUNTIFS('Raw Data'!C$2:C$546,B163,'Raw Data'!L$2:L$546,"Yes")</f>
        <v/>
      </c>
      <c r="E163" s="45">
        <f>C163-D163</f>
        <v/>
      </c>
      <c r="F163" s="46">
        <f>IF(C163&gt;0,D163/C163,0)</f>
        <v/>
      </c>
    </row>
    <row r="164" ht="14" customHeight="1">
      <c r="A164" s="59" t="inlineStr">
        <is>
          <t>Computing</t>
        </is>
      </c>
      <c r="B164" s="59" t="inlineStr">
        <is>
          <t>DP-VPX-0224</t>
        </is>
      </c>
      <c r="C164" s="49">
        <f>COUNTIF('Raw Data'!C$2:C$546,B164)</f>
        <v/>
      </c>
      <c r="D164" s="49">
        <f>COUNTIFS('Raw Data'!C$2:C$546,B164,'Raw Data'!L$2:L$546,"Available")+COUNTIFS('Raw Data'!C$2:C$546,B164,'Raw Data'!L$2:L$546,"Yes")</f>
        <v/>
      </c>
      <c r="E164" s="49">
        <f>C164-D164</f>
        <v/>
      </c>
      <c r="F164" s="50">
        <f>IF(C164&gt;0,D164/C164,0)</f>
        <v/>
      </c>
    </row>
    <row r="165" ht="14" customHeight="1">
      <c r="A165" s="58" t="inlineStr">
        <is>
          <t>Computing</t>
        </is>
      </c>
      <c r="B165" s="58" t="inlineStr">
        <is>
          <t>DP-VPX-0227</t>
        </is>
      </c>
      <c r="C165" s="45">
        <f>COUNTIF('Raw Data'!C$2:C$546,B165)</f>
        <v/>
      </c>
      <c r="D165" s="45">
        <f>COUNTIFS('Raw Data'!C$2:C$546,B165,'Raw Data'!L$2:L$546,"Available")+COUNTIFS('Raw Data'!C$2:C$546,B165,'Raw Data'!L$2:L$546,"Yes")</f>
        <v/>
      </c>
      <c r="E165" s="45">
        <f>C165-D165</f>
        <v/>
      </c>
      <c r="F165" s="46">
        <f>IF(C165&gt;0,D165/C165,0)</f>
        <v/>
      </c>
    </row>
    <row r="166" ht="14" customHeight="1">
      <c r="A166" s="59" t="inlineStr">
        <is>
          <t>Computing</t>
        </is>
      </c>
      <c r="B166" s="59" t="inlineStr">
        <is>
          <t>DP-VPX-0233</t>
        </is>
      </c>
      <c r="C166" s="49">
        <f>COUNTIF('Raw Data'!C$2:C$546,B166)</f>
        <v/>
      </c>
      <c r="D166" s="49">
        <f>COUNTIFS('Raw Data'!C$2:C$546,B166,'Raw Data'!L$2:L$546,"Available")+COUNTIFS('Raw Data'!C$2:C$546,B166,'Raw Data'!L$2:L$546,"Yes")</f>
        <v/>
      </c>
      <c r="E166" s="49">
        <f>C166-D166</f>
        <v/>
      </c>
      <c r="F166" s="50">
        <f>IF(C166&gt;0,D166/C166,0)</f>
        <v/>
      </c>
    </row>
    <row r="167" ht="14" customHeight="1">
      <c r="A167" s="58" t="inlineStr">
        <is>
          <t>Computing</t>
        </is>
      </c>
      <c r="B167" s="58" t="inlineStr">
        <is>
          <t>DP-VPX-0236</t>
        </is>
      </c>
      <c r="C167" s="45">
        <f>COUNTIF('Raw Data'!C$2:C$546,B167)</f>
        <v/>
      </c>
      <c r="D167" s="45">
        <f>COUNTIFS('Raw Data'!C$2:C$546,B167,'Raw Data'!L$2:L$546,"Available")+COUNTIFS('Raw Data'!C$2:C$546,B167,'Raw Data'!L$2:L$546,"Yes")</f>
        <v/>
      </c>
      <c r="E167" s="45">
        <f>C167-D167</f>
        <v/>
      </c>
      <c r="F167" s="46">
        <f>IF(C167&gt;0,D167/C167,0)</f>
        <v/>
      </c>
    </row>
    <row r="168" ht="14" customHeight="1">
      <c r="A168" s="59" t="inlineStr">
        <is>
          <t>Computing</t>
        </is>
      </c>
      <c r="B168" s="59" t="inlineStr">
        <is>
          <t>DP-VPX-0500</t>
        </is>
      </c>
      <c r="C168" s="49">
        <f>COUNTIF('Raw Data'!C$2:C$546,B168)</f>
        <v/>
      </c>
      <c r="D168" s="49">
        <f>COUNTIFS('Raw Data'!C$2:C$546,B168,'Raw Data'!L$2:L$546,"Available")+COUNTIFS('Raw Data'!C$2:C$546,B168,'Raw Data'!L$2:L$546,"Yes")</f>
        <v/>
      </c>
      <c r="E168" s="49">
        <f>C168-D168</f>
        <v/>
      </c>
      <c r="F168" s="50">
        <f>IF(C168&gt;0,D168/C168,0)</f>
        <v/>
      </c>
    </row>
    <row r="169" ht="14" customHeight="1">
      <c r="A169" s="58" t="inlineStr">
        <is>
          <t>Computing</t>
        </is>
      </c>
      <c r="B169" s="58" t="inlineStr">
        <is>
          <t>DP-VPX-1031</t>
        </is>
      </c>
      <c r="C169" s="45">
        <f>COUNTIF('Raw Data'!C$2:C$546,B169)</f>
        <v/>
      </c>
      <c r="D169" s="45">
        <f>COUNTIFS('Raw Data'!C$2:C$546,B169,'Raw Data'!L$2:L$546,"Available")+COUNTIFS('Raw Data'!C$2:C$546,B169,'Raw Data'!L$2:L$546,"Yes")</f>
        <v/>
      </c>
      <c r="E169" s="45">
        <f>C169-D169</f>
        <v/>
      </c>
      <c r="F169" s="46">
        <f>IF(C169&gt;0,D169/C169,0)</f>
        <v/>
      </c>
    </row>
    <row r="170" ht="14" customHeight="1">
      <c r="A170" s="59" t="inlineStr">
        <is>
          <t>Computing</t>
        </is>
      </c>
      <c r="B170" s="59" t="inlineStr">
        <is>
          <t>DP-VPX-2003</t>
        </is>
      </c>
      <c r="C170" s="49">
        <f>COUNTIF('Raw Data'!C$2:C$546,B170)</f>
        <v/>
      </c>
      <c r="D170" s="49">
        <f>COUNTIFS('Raw Data'!C$2:C$546,B170,'Raw Data'!L$2:L$546,"Available")+COUNTIFS('Raw Data'!C$2:C$546,B170,'Raw Data'!L$2:L$546,"Yes")</f>
        <v/>
      </c>
      <c r="E170" s="49">
        <f>C170-D170</f>
        <v/>
      </c>
      <c r="F170" s="50">
        <f>IF(C170&gt;0,D170/C170,0)</f>
        <v/>
      </c>
    </row>
    <row r="171" ht="14" customHeight="1">
      <c r="A171" s="58" t="inlineStr">
        <is>
          <t>Computing</t>
        </is>
      </c>
      <c r="B171" s="58" t="inlineStr">
        <is>
          <t>DP-VPX-2606</t>
        </is>
      </c>
      <c r="C171" s="45">
        <f>COUNTIF('Raw Data'!C$2:C$546,B171)</f>
        <v/>
      </c>
      <c r="D171" s="45">
        <f>COUNTIFS('Raw Data'!C$2:C$546,B171,'Raw Data'!L$2:L$546,"Available")+COUNTIFS('Raw Data'!C$2:C$546,B171,'Raw Data'!L$2:L$546,"Yes")</f>
        <v/>
      </c>
      <c r="E171" s="45">
        <f>C171-D171</f>
        <v/>
      </c>
      <c r="F171" s="46">
        <f>IF(C171&gt;0,D171/C171,0)</f>
        <v/>
      </c>
    </row>
    <row r="172" ht="14" customHeight="1">
      <c r="A172" s="59" t="inlineStr">
        <is>
          <t>Computing</t>
        </is>
      </c>
      <c r="B172" s="59" t="inlineStr">
        <is>
          <t>DP-VPX-5291</t>
        </is>
      </c>
      <c r="C172" s="49">
        <f>COUNTIF('Raw Data'!C$2:C$546,B172)</f>
        <v/>
      </c>
      <c r="D172" s="49">
        <f>COUNTIFS('Raw Data'!C$2:C$546,B172,'Raw Data'!L$2:L$546,"Available")+COUNTIFS('Raw Data'!C$2:C$546,B172,'Raw Data'!L$2:L$546,"Yes")</f>
        <v/>
      </c>
      <c r="E172" s="49">
        <f>C172-D172</f>
        <v/>
      </c>
      <c r="F172" s="50">
        <f>IF(C172&gt;0,D172/C172,0)</f>
        <v/>
      </c>
    </row>
    <row r="173" ht="14" customHeight="1">
      <c r="A173" s="58" t="inlineStr">
        <is>
          <t>Computing</t>
        </is>
      </c>
      <c r="B173" s="58" t="inlineStr">
        <is>
          <t>DP-VPX-5792</t>
        </is>
      </c>
      <c r="C173" s="45">
        <f>COUNTIF('Raw Data'!C$2:C$546,B173)</f>
        <v/>
      </c>
      <c r="D173" s="45">
        <f>COUNTIFS('Raw Data'!C$2:C$546,B173,'Raw Data'!L$2:L$546,"Available")+COUNTIFS('Raw Data'!C$2:C$546,B173,'Raw Data'!L$2:L$546,"Yes")</f>
        <v/>
      </c>
      <c r="E173" s="45">
        <f>C173-D173</f>
        <v/>
      </c>
      <c r="F173" s="46">
        <f>IF(C173&gt;0,D173/C173,0)</f>
        <v/>
      </c>
    </row>
    <row r="174" ht="14" customHeight="1">
      <c r="A174" s="59" t="inlineStr">
        <is>
          <t>Computing</t>
        </is>
      </c>
      <c r="B174" s="59" t="inlineStr">
        <is>
          <t>DP-VPX-6025</t>
        </is>
      </c>
      <c r="C174" s="49">
        <f>COUNTIF('Raw Data'!C$2:C$546,B174)</f>
        <v/>
      </c>
      <c r="D174" s="49">
        <f>COUNTIFS('Raw Data'!C$2:C$546,B174,'Raw Data'!L$2:L$546,"Available")+COUNTIFS('Raw Data'!C$2:C$546,B174,'Raw Data'!L$2:L$546,"Yes")</f>
        <v/>
      </c>
      <c r="E174" s="49">
        <f>C174-D174</f>
        <v/>
      </c>
      <c r="F174" s="50">
        <f>IF(C174&gt;0,D174/C174,0)</f>
        <v/>
      </c>
    </row>
    <row r="175" ht="14" customHeight="1">
      <c r="A175" s="58" t="inlineStr">
        <is>
          <t>Computing</t>
        </is>
      </c>
      <c r="B175" s="58" t="inlineStr">
        <is>
          <t>DP-VPX-7154</t>
        </is>
      </c>
      <c r="C175" s="45">
        <f>COUNTIF('Raw Data'!C$2:C$546,B175)</f>
        <v/>
      </c>
      <c r="D175" s="45">
        <f>COUNTIFS('Raw Data'!C$2:C$546,B175,'Raw Data'!L$2:L$546,"Available")+COUNTIFS('Raw Data'!C$2:C$546,B175,'Raw Data'!L$2:L$546,"Yes")</f>
        <v/>
      </c>
      <c r="E175" s="45">
        <f>C175-D175</f>
        <v/>
      </c>
      <c r="F175" s="46">
        <f>IF(C175&gt;0,D175/C175,0)</f>
        <v/>
      </c>
    </row>
    <row r="176" ht="14" customHeight="1">
      <c r="A176" s="59" t="inlineStr">
        <is>
          <t>Computing</t>
        </is>
      </c>
      <c r="B176" s="59" t="inlineStr">
        <is>
          <t>DP-XMC-5049</t>
        </is>
      </c>
      <c r="C176" s="49">
        <f>COUNTIF('Raw Data'!C$2:C$546,B176)</f>
        <v/>
      </c>
      <c r="D176" s="49">
        <f>COUNTIFS('Raw Data'!C$2:C$546,B176,'Raw Data'!L$2:L$546,"Available")+COUNTIFS('Raw Data'!C$2:C$546,B176,'Raw Data'!L$2:L$546,"Yes")</f>
        <v/>
      </c>
      <c r="E176" s="49">
        <f>C176-D176</f>
        <v/>
      </c>
      <c r="F176" s="50">
        <f>IF(C176&gt;0,D176/C176,0)</f>
        <v/>
      </c>
    </row>
    <row r="177" ht="14" customHeight="1">
      <c r="A177" s="58" t="inlineStr">
        <is>
          <t>Computing</t>
        </is>
      </c>
      <c r="B177" s="58" t="inlineStr">
        <is>
          <t>DP-XMC-6003</t>
        </is>
      </c>
      <c r="C177" s="45">
        <f>COUNTIF('Raw Data'!C$2:C$546,B177)</f>
        <v/>
      </c>
      <c r="D177" s="45">
        <f>COUNTIFS('Raw Data'!C$2:C$546,B177,'Raw Data'!L$2:L$546,"Available")+COUNTIFS('Raw Data'!C$2:C$546,B177,'Raw Data'!L$2:L$546,"Yes")</f>
        <v/>
      </c>
      <c r="E177" s="45">
        <f>C177-D177</f>
        <v/>
      </c>
      <c r="F177" s="46">
        <f>IF(C177&gt;0,D177/C177,0)</f>
        <v/>
      </c>
    </row>
    <row r="178" ht="14" customHeight="1">
      <c r="A178" s="59" t="inlineStr">
        <is>
          <t>Computing</t>
        </is>
      </c>
      <c r="B178" s="59" t="inlineStr">
        <is>
          <t>IRST V2</t>
        </is>
      </c>
      <c r="C178" s="49">
        <f>COUNTIF('Raw Data'!C$2:C$546,B178)</f>
        <v/>
      </c>
      <c r="D178" s="49">
        <f>COUNTIFS('Raw Data'!C$2:C$546,B178,'Raw Data'!L$2:L$546,"Available")+COUNTIFS('Raw Data'!C$2:C$546,B178,'Raw Data'!L$2:L$546,"Yes")</f>
        <v/>
      </c>
      <c r="E178" s="49">
        <f>C178-D178</f>
        <v/>
      </c>
      <c r="F178" s="50">
        <f>IF(C178&gt;0,D178/C178,0)</f>
        <v/>
      </c>
    </row>
    <row r="179" ht="14" customHeight="1">
      <c r="A179" s="58" t="inlineStr">
        <is>
          <t>RAD</t>
        </is>
      </c>
      <c r="B179" s="58" t="inlineStr">
        <is>
          <t>DP-ADSB-8009</t>
        </is>
      </c>
      <c r="C179" s="45">
        <f>COUNTIF('Raw Data'!C$2:C$546,B179)</f>
        <v/>
      </c>
      <c r="D179" s="45">
        <f>COUNTIFS('Raw Data'!C$2:C$546,B179,'Raw Data'!L$2:L$546,"Available")+COUNTIFS('Raw Data'!C$2:C$546,B179,'Raw Data'!L$2:L$546,"Yes")</f>
        <v/>
      </c>
      <c r="E179" s="45">
        <f>C179-D179</f>
        <v/>
      </c>
      <c r="F179" s="46">
        <f>IF(C179&gt;0,D179/C179,0)</f>
        <v/>
      </c>
    </row>
    <row r="180" ht="14" customHeight="1">
      <c r="A180" s="59" t="inlineStr">
        <is>
          <t>RAD</t>
        </is>
      </c>
      <c r="B180" s="59" t="inlineStr">
        <is>
          <t>DP-ATE-8432</t>
        </is>
      </c>
      <c r="C180" s="49">
        <f>COUNTIF('Raw Data'!C$2:C$546,B180)</f>
        <v/>
      </c>
      <c r="D180" s="49">
        <f>COUNTIFS('Raw Data'!C$2:C$546,B180,'Raw Data'!L$2:L$546,"Available")+COUNTIFS('Raw Data'!C$2:C$546,B180,'Raw Data'!L$2:L$546,"Yes")</f>
        <v/>
      </c>
      <c r="E180" s="49">
        <f>C180-D180</f>
        <v/>
      </c>
      <c r="F180" s="50">
        <f>IF(C180&gt;0,D180/C180,0)</f>
        <v/>
      </c>
    </row>
    <row r="181" ht="14" customHeight="1">
      <c r="A181" s="58" t="inlineStr">
        <is>
          <t>RAD</t>
        </is>
      </c>
      <c r="B181" s="58" t="inlineStr">
        <is>
          <t>DP-CRF-6419</t>
        </is>
      </c>
      <c r="C181" s="45">
        <f>COUNTIF('Raw Data'!C$2:C$546,B181)</f>
        <v/>
      </c>
      <c r="D181" s="45">
        <f>COUNTIFS('Raw Data'!C$2:C$546,B181,'Raw Data'!L$2:L$546,"Available")+COUNTIFS('Raw Data'!C$2:C$546,B181,'Raw Data'!L$2:L$546,"Yes")</f>
        <v/>
      </c>
      <c r="E181" s="45">
        <f>C181-D181</f>
        <v/>
      </c>
      <c r="F181" s="46">
        <f>IF(C181&gt;0,D181/C181,0)</f>
        <v/>
      </c>
    </row>
    <row r="182" ht="14" customHeight="1">
      <c r="A182" s="59" t="inlineStr">
        <is>
          <t>RAD</t>
        </is>
      </c>
      <c r="B182" s="59" t="inlineStr">
        <is>
          <t>DP-IFF-8023</t>
        </is>
      </c>
      <c r="C182" s="49">
        <f>COUNTIF('Raw Data'!C$2:C$546,B182)</f>
        <v/>
      </c>
      <c r="D182" s="49">
        <f>COUNTIFS('Raw Data'!C$2:C$546,B182,'Raw Data'!L$2:L$546,"Available")+COUNTIFS('Raw Data'!C$2:C$546,B182,'Raw Data'!L$2:L$546,"Yes")</f>
        <v/>
      </c>
      <c r="E182" s="49">
        <f>C182-D182</f>
        <v/>
      </c>
      <c r="F182" s="50">
        <f>IF(C182&gt;0,D182/C182,0)</f>
        <v/>
      </c>
    </row>
    <row r="183" ht="14" customHeight="1">
      <c r="A183" s="58" t="inlineStr">
        <is>
          <t>RAD</t>
        </is>
      </c>
      <c r="B183" s="58" t="inlineStr">
        <is>
          <t>DP-RDR-7277</t>
        </is>
      </c>
      <c r="C183" s="45">
        <f>COUNTIF('Raw Data'!C$2:C$546,B183)</f>
        <v/>
      </c>
      <c r="D183" s="45">
        <f>COUNTIFS('Raw Data'!C$2:C$546,B183,'Raw Data'!L$2:L$546,"Available")+COUNTIFS('Raw Data'!C$2:C$546,B183,'Raw Data'!L$2:L$546,"Yes")</f>
        <v/>
      </c>
      <c r="E183" s="45">
        <f>C183-D183</f>
        <v/>
      </c>
      <c r="F183" s="46">
        <f>IF(C183&gt;0,D183/C183,0)</f>
        <v/>
      </c>
    </row>
    <row r="184" ht="14" customHeight="1">
      <c r="A184" s="59" t="inlineStr">
        <is>
          <t>RAD</t>
        </is>
      </c>
      <c r="B184" s="59" t="inlineStr">
        <is>
          <t>DP-RDR-7310</t>
        </is>
      </c>
      <c r="C184" s="49">
        <f>COUNTIF('Raw Data'!C$2:C$546,B184)</f>
        <v/>
      </c>
      <c r="D184" s="49">
        <f>COUNTIFS('Raw Data'!C$2:C$546,B184,'Raw Data'!L$2:L$546,"Available")+COUNTIFS('Raw Data'!C$2:C$546,B184,'Raw Data'!L$2:L$546,"Yes")</f>
        <v/>
      </c>
      <c r="E184" s="49">
        <f>C184-D184</f>
        <v/>
      </c>
      <c r="F184" s="50">
        <f>IF(C184&gt;0,D184/C184,0)</f>
        <v/>
      </c>
    </row>
    <row r="185" ht="14" customHeight="1">
      <c r="A185" s="58" t="inlineStr">
        <is>
          <t>RAD</t>
        </is>
      </c>
      <c r="B185" s="58" t="inlineStr">
        <is>
          <t>DP-RDR-7388</t>
        </is>
      </c>
      <c r="C185" s="45">
        <f>COUNTIF('Raw Data'!C$2:C$546,B185)</f>
        <v/>
      </c>
      <c r="D185" s="45">
        <f>COUNTIFS('Raw Data'!C$2:C$546,B185,'Raw Data'!L$2:L$546,"Available")+COUNTIFS('Raw Data'!C$2:C$546,B185,'Raw Data'!L$2:L$546,"Yes")</f>
        <v/>
      </c>
      <c r="E185" s="45">
        <f>C185-D185</f>
        <v/>
      </c>
      <c r="F185" s="46">
        <f>IF(C185&gt;0,D185/C185,0)</f>
        <v/>
      </c>
    </row>
    <row r="186" ht="14" customHeight="1">
      <c r="A186" s="59" t="inlineStr">
        <is>
          <t>RAD</t>
        </is>
      </c>
      <c r="B186" s="59" t="inlineStr">
        <is>
          <t>DP-RDR-7456</t>
        </is>
      </c>
      <c r="C186" s="49">
        <f>COUNTIF('Raw Data'!C$2:C$546,B186)</f>
        <v/>
      </c>
      <c r="D186" s="49">
        <f>COUNTIFS('Raw Data'!C$2:C$546,B186,'Raw Data'!L$2:L$546,"Available")+COUNTIFS('Raw Data'!C$2:C$546,B186,'Raw Data'!L$2:L$546,"Yes")</f>
        <v/>
      </c>
      <c r="E186" s="49">
        <f>C186-D186</f>
        <v/>
      </c>
      <c r="F186" s="50">
        <f>IF(C186&gt;0,D186/C186,0)</f>
        <v/>
      </c>
    </row>
    <row r="187" ht="14" customHeight="1">
      <c r="A187" s="58" t="inlineStr">
        <is>
          <t>RAD</t>
        </is>
      </c>
      <c r="B187" s="58" t="inlineStr">
        <is>
          <t>DP-RDR-7465</t>
        </is>
      </c>
      <c r="C187" s="45">
        <f>COUNTIF('Raw Data'!C$2:C$546,B187)</f>
        <v/>
      </c>
      <c r="D187" s="45">
        <f>COUNTIFS('Raw Data'!C$2:C$546,B187,'Raw Data'!L$2:L$546,"Available")+COUNTIFS('Raw Data'!C$2:C$546,B187,'Raw Data'!L$2:L$546,"Yes")</f>
        <v/>
      </c>
      <c r="E187" s="45">
        <f>C187-D187</f>
        <v/>
      </c>
      <c r="F187" s="46">
        <f>IF(C187&gt;0,D187/C187,0)</f>
        <v/>
      </c>
    </row>
    <row r="188" ht="14" customHeight="1">
      <c r="A188" s="59" t="inlineStr">
        <is>
          <t>RAD</t>
        </is>
      </c>
      <c r="B188" s="59" t="inlineStr">
        <is>
          <t>DP-RDR-7474</t>
        </is>
      </c>
      <c r="C188" s="49">
        <f>COUNTIF('Raw Data'!C$2:C$546,B188)</f>
        <v/>
      </c>
      <c r="D188" s="49">
        <f>COUNTIFS('Raw Data'!C$2:C$546,B188,'Raw Data'!L$2:L$546,"Available")+COUNTIFS('Raw Data'!C$2:C$546,B188,'Raw Data'!L$2:L$546,"Yes")</f>
        <v/>
      </c>
      <c r="E188" s="49">
        <f>C188-D188</f>
        <v/>
      </c>
      <c r="F188" s="50">
        <f>IF(C188&gt;0,D188/C188,0)</f>
        <v/>
      </c>
    </row>
    <row r="189" ht="14" customHeight="1">
      <c r="A189" s="58" t="inlineStr">
        <is>
          <t>RAD</t>
        </is>
      </c>
      <c r="B189" s="58" t="inlineStr">
        <is>
          <t>DP-RDR-7477</t>
        </is>
      </c>
      <c r="C189" s="45">
        <f>COUNTIF('Raw Data'!C$2:C$546,B189)</f>
        <v/>
      </c>
      <c r="D189" s="45">
        <f>COUNTIFS('Raw Data'!C$2:C$546,B189,'Raw Data'!L$2:L$546,"Available")+COUNTIFS('Raw Data'!C$2:C$546,B189,'Raw Data'!L$2:L$546,"Yes")</f>
        <v/>
      </c>
      <c r="E189" s="45">
        <f>C189-D189</f>
        <v/>
      </c>
      <c r="F189" s="46">
        <f>IF(C189&gt;0,D189/C189,0)</f>
        <v/>
      </c>
    </row>
    <row r="190" ht="14" customHeight="1">
      <c r="A190" s="59" t="inlineStr">
        <is>
          <t>RAD</t>
        </is>
      </c>
      <c r="B190" s="59" t="inlineStr">
        <is>
          <t>DP-RDR-7495</t>
        </is>
      </c>
      <c r="C190" s="49">
        <f>COUNTIF('Raw Data'!C$2:C$546,B190)</f>
        <v/>
      </c>
      <c r="D190" s="49">
        <f>COUNTIFS('Raw Data'!C$2:C$546,B190,'Raw Data'!L$2:L$546,"Available")+COUNTIFS('Raw Data'!C$2:C$546,B190,'Raw Data'!L$2:L$546,"Yes")</f>
        <v/>
      </c>
      <c r="E190" s="49">
        <f>C190-D190</f>
        <v/>
      </c>
      <c r="F190" s="50">
        <f>IF(C190&gt;0,D190/C190,0)</f>
        <v/>
      </c>
    </row>
    <row r="191" ht="14" customHeight="1">
      <c r="A191" s="58" t="inlineStr">
        <is>
          <t>RAD</t>
        </is>
      </c>
      <c r="B191" s="58" t="inlineStr">
        <is>
          <t>DP-RDR-7570</t>
        </is>
      </c>
      <c r="C191" s="45">
        <f>COUNTIF('Raw Data'!C$2:C$546,B191)</f>
        <v/>
      </c>
      <c r="D191" s="45">
        <f>COUNTIFS('Raw Data'!C$2:C$546,B191,'Raw Data'!L$2:L$546,"Available")+COUNTIFS('Raw Data'!C$2:C$546,B191,'Raw Data'!L$2:L$546,"Yes")</f>
        <v/>
      </c>
      <c r="E191" s="45">
        <f>C191-D191</f>
        <v/>
      </c>
      <c r="F191" s="46">
        <f>IF(C191&gt;0,D191/C191,0)</f>
        <v/>
      </c>
    </row>
    <row r="192" ht="14" customHeight="1">
      <c r="A192" s="59" t="inlineStr">
        <is>
          <t>RAD</t>
        </is>
      </c>
      <c r="B192" s="59" t="inlineStr">
        <is>
          <t>DP-RDR-8134</t>
        </is>
      </c>
      <c r="C192" s="49">
        <f>COUNTIF('Raw Data'!C$2:C$546,B192)</f>
        <v/>
      </c>
      <c r="D192" s="49">
        <f>COUNTIFS('Raw Data'!C$2:C$546,B192,'Raw Data'!L$2:L$546,"Available")+COUNTIFS('Raw Data'!C$2:C$546,B192,'Raw Data'!L$2:L$546,"Yes")</f>
        <v/>
      </c>
      <c r="E192" s="49">
        <f>C192-D192</f>
        <v/>
      </c>
      <c r="F192" s="50">
        <f>IF(C192&gt;0,D192/C192,0)</f>
        <v/>
      </c>
    </row>
    <row r="193" ht="14" customHeight="1">
      <c r="A193" s="58" t="inlineStr">
        <is>
          <t>RAD</t>
        </is>
      </c>
      <c r="B193" s="58" t="inlineStr">
        <is>
          <t>DP-RDR-8140</t>
        </is>
      </c>
      <c r="C193" s="45">
        <f>COUNTIF('Raw Data'!C$2:C$546,B193)</f>
        <v/>
      </c>
      <c r="D193" s="45">
        <f>COUNTIFS('Raw Data'!C$2:C$546,B193,'Raw Data'!L$2:L$546,"Available")+COUNTIFS('Raw Data'!C$2:C$546,B193,'Raw Data'!L$2:L$546,"Yes")</f>
        <v/>
      </c>
      <c r="E193" s="45">
        <f>C193-D193</f>
        <v/>
      </c>
      <c r="F193" s="46">
        <f>IF(C193&gt;0,D193/C193,0)</f>
        <v/>
      </c>
    </row>
    <row r="194" ht="14" customHeight="1">
      <c r="A194" s="59" t="inlineStr">
        <is>
          <t>RAD</t>
        </is>
      </c>
      <c r="B194" s="59" t="inlineStr">
        <is>
          <t>DP-RDR-8227</t>
        </is>
      </c>
      <c r="C194" s="49">
        <f>COUNTIF('Raw Data'!C$2:C$546,B194)</f>
        <v/>
      </c>
      <c r="D194" s="49">
        <f>COUNTIFS('Raw Data'!C$2:C$546,B194,'Raw Data'!L$2:L$546,"Available")+COUNTIFS('Raw Data'!C$2:C$546,B194,'Raw Data'!L$2:L$546,"Yes")</f>
        <v/>
      </c>
      <c r="E194" s="49">
        <f>C194-D194</f>
        <v/>
      </c>
      <c r="F194" s="50">
        <f>IF(C194&gt;0,D194/C194,0)</f>
        <v/>
      </c>
    </row>
    <row r="195" ht="14" customHeight="1">
      <c r="A195" s="58" t="inlineStr">
        <is>
          <t>RAD</t>
        </is>
      </c>
      <c r="B195" s="58" t="inlineStr">
        <is>
          <t>DP-RDR-8245</t>
        </is>
      </c>
      <c r="C195" s="45">
        <f>COUNTIF('Raw Data'!C$2:C$546,B195)</f>
        <v/>
      </c>
      <c r="D195" s="45">
        <f>COUNTIFS('Raw Data'!C$2:C$546,B195,'Raw Data'!L$2:L$546,"Available")+COUNTIFS('Raw Data'!C$2:C$546,B195,'Raw Data'!L$2:L$546,"Yes")</f>
        <v/>
      </c>
      <c r="E195" s="45">
        <f>C195-D195</f>
        <v/>
      </c>
      <c r="F195" s="46">
        <f>IF(C195&gt;0,D195/C195,0)</f>
        <v/>
      </c>
    </row>
    <row r="196" ht="14" customHeight="1">
      <c r="A196" s="59" t="inlineStr">
        <is>
          <t>RAD</t>
        </is>
      </c>
      <c r="B196" s="59" t="inlineStr">
        <is>
          <t>DP-RDR-8266</t>
        </is>
      </c>
      <c r="C196" s="49">
        <f>COUNTIF('Raw Data'!C$2:C$546,B196)</f>
        <v/>
      </c>
      <c r="D196" s="49">
        <f>COUNTIFS('Raw Data'!C$2:C$546,B196,'Raw Data'!L$2:L$546,"Available")+COUNTIFS('Raw Data'!C$2:C$546,B196,'Raw Data'!L$2:L$546,"Yes")</f>
        <v/>
      </c>
      <c r="E196" s="49">
        <f>C196-D196</f>
        <v/>
      </c>
      <c r="F196" s="50">
        <f>IF(C196&gt;0,D196/C196,0)</f>
        <v/>
      </c>
    </row>
    <row r="197" ht="14" customHeight="1">
      <c r="A197" s="58" t="inlineStr">
        <is>
          <t>RAD</t>
        </is>
      </c>
      <c r="B197" s="58" t="inlineStr">
        <is>
          <t>DP-RDR-8308</t>
        </is>
      </c>
      <c r="C197" s="45">
        <f>COUNTIF('Raw Data'!C$2:C$546,B197)</f>
        <v/>
      </c>
      <c r="D197" s="45">
        <f>COUNTIFS('Raw Data'!C$2:C$546,B197,'Raw Data'!L$2:L$546,"Available")+COUNTIFS('Raw Data'!C$2:C$546,B197,'Raw Data'!L$2:L$546,"Yes")</f>
        <v/>
      </c>
      <c r="E197" s="45">
        <f>C197-D197</f>
        <v/>
      </c>
      <c r="F197" s="46">
        <f>IF(C197&gt;0,D197/C197,0)</f>
        <v/>
      </c>
    </row>
    <row r="198" ht="14" customHeight="1">
      <c r="A198" s="59" t="inlineStr">
        <is>
          <t>RAD</t>
        </is>
      </c>
      <c r="B198" s="59" t="inlineStr">
        <is>
          <t>DP-RDR-8329</t>
        </is>
      </c>
      <c r="C198" s="49">
        <f>COUNTIF('Raw Data'!C$2:C$546,B198)</f>
        <v/>
      </c>
      <c r="D198" s="49">
        <f>COUNTIFS('Raw Data'!C$2:C$546,B198,'Raw Data'!L$2:L$546,"Available")+COUNTIFS('Raw Data'!C$2:C$546,B198,'Raw Data'!L$2:L$546,"Yes")</f>
        <v/>
      </c>
      <c r="E198" s="49">
        <f>C198-D198</f>
        <v/>
      </c>
      <c r="F198" s="50">
        <f>IF(C198&gt;0,D198/C198,0)</f>
        <v/>
      </c>
    </row>
    <row r="199" ht="14" customHeight="1">
      <c r="A199" s="58" t="inlineStr">
        <is>
          <t>RAD</t>
        </is>
      </c>
      <c r="B199" s="58" t="inlineStr">
        <is>
          <t>DP-RTS-8006</t>
        </is>
      </c>
      <c r="C199" s="45">
        <f>COUNTIF('Raw Data'!C$2:C$546,B199)</f>
        <v/>
      </c>
      <c r="D199" s="45">
        <f>COUNTIFS('Raw Data'!C$2:C$546,B199,'Raw Data'!L$2:L$546,"Available")+COUNTIFS('Raw Data'!C$2:C$546,B199,'Raw Data'!L$2:L$546,"Yes")</f>
        <v/>
      </c>
      <c r="E199" s="45">
        <f>C199-D199</f>
        <v/>
      </c>
      <c r="F199" s="46">
        <f>IF(C199&gt;0,D199/C199,0)</f>
        <v/>
      </c>
    </row>
    <row r="200" ht="14" customHeight="1">
      <c r="A200" s="59" t="inlineStr">
        <is>
          <t>RAD</t>
        </is>
      </c>
      <c r="B200" s="59" t="inlineStr">
        <is>
          <t>DP-SAR-8004</t>
        </is>
      </c>
      <c r="C200" s="49">
        <f>COUNTIF('Raw Data'!C$2:C$546,B200)</f>
        <v/>
      </c>
      <c r="D200" s="49">
        <f>COUNTIFS('Raw Data'!C$2:C$546,B200,'Raw Data'!L$2:L$546,"Available")+COUNTIFS('Raw Data'!C$2:C$546,B200,'Raw Data'!L$2:L$546,"Yes")</f>
        <v/>
      </c>
      <c r="E200" s="49">
        <f>C200-D200</f>
        <v/>
      </c>
      <c r="F200" s="50">
        <f>IF(C200&gt;0,D200/C200,0)</f>
        <v/>
      </c>
    </row>
    <row r="201" ht="14" customHeight="1">
      <c r="A201" s="58" t="inlineStr">
        <is>
          <t>RAD</t>
        </is>
      </c>
      <c r="B201" s="58" t="inlineStr">
        <is>
          <t>DP-SAR-8007</t>
        </is>
      </c>
      <c r="C201" s="45">
        <f>COUNTIF('Raw Data'!C$2:C$546,B201)</f>
        <v/>
      </c>
      <c r="D201" s="45">
        <f>COUNTIFS('Raw Data'!C$2:C$546,B201,'Raw Data'!L$2:L$546,"Available")+COUNTIFS('Raw Data'!C$2:C$546,B201,'Raw Data'!L$2:L$546,"Yes")</f>
        <v/>
      </c>
      <c r="E201" s="45">
        <f>C201-D201</f>
        <v/>
      </c>
      <c r="F201" s="46">
        <f>IF(C201&gt;0,D201/C201,0)</f>
        <v/>
      </c>
    </row>
    <row r="202" ht="14" customHeight="1">
      <c r="A202" s="59" t="inlineStr">
        <is>
          <t>RAD</t>
        </is>
      </c>
      <c r="B202" s="59" t="inlineStr">
        <is>
          <t>DP-SWR-8002</t>
        </is>
      </c>
      <c r="C202" s="49">
        <f>COUNTIF('Raw Data'!C$2:C$546,B202)</f>
        <v/>
      </c>
      <c r="D202" s="49">
        <f>COUNTIFS('Raw Data'!C$2:C$546,B202,'Raw Data'!L$2:L$546,"Available")+COUNTIFS('Raw Data'!C$2:C$546,B202,'Raw Data'!L$2:L$546,"Yes")</f>
        <v/>
      </c>
      <c r="E202" s="49">
        <f>C202-D202</f>
        <v/>
      </c>
      <c r="F202" s="50">
        <f>IF(C202&gt;0,D202/C202,0)</f>
        <v/>
      </c>
    </row>
    <row r="203" ht="14" customHeight="1">
      <c r="A203" s="58" t="inlineStr">
        <is>
          <t>RAD</t>
        </is>
      </c>
      <c r="B203" s="58" t="inlineStr">
        <is>
          <t>DP-SWR-8005</t>
        </is>
      </c>
      <c r="C203" s="45">
        <f>COUNTIF('Raw Data'!C$2:C$546,B203)</f>
        <v/>
      </c>
      <c r="D203" s="45">
        <f>COUNTIFS('Raw Data'!C$2:C$546,B203,'Raw Data'!L$2:L$546,"Available")+COUNTIFS('Raw Data'!C$2:C$546,B203,'Raw Data'!L$2:L$546,"Yes")</f>
        <v/>
      </c>
      <c r="E203" s="45">
        <f>C203-D203</f>
        <v/>
      </c>
      <c r="F203" s="46">
        <f>IF(C203&gt;0,D203/C203,0)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2026-02-19T06:40:07Z</dcterms:created>
  <dcterms:modified xmlns:dcterms="http://purl.org/dc/terms/" xmlns:xsi="http://www.w3.org/2001/XMLSchema-instance" xsi:type="dcterms:W3CDTF">2026-02-19T06:40:08Z</dcterms:modified>
</cp:coreProperties>
</file>